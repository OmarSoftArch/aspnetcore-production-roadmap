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C9BE5E-5B90-46C0-9D3C-A14B6A042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print_Plan" sheetId="2" r:id="rId2"/>
    <sheet name="Daily_Tracker" sheetId="3" r:id="rId3"/>
    <sheet name="Roadmap_Backlog" sheetId="4" r:id="rId4"/>
    <sheet name="Weekly_Review" sheetId="5" r:id="rId5"/>
    <sheet name="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5" l="1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E7" i="1" s="1"/>
  <c r="E9" i="1"/>
  <c r="E8" i="1"/>
  <c r="E6" i="1"/>
  <c r="E5" i="1"/>
  <c r="E4" i="1"/>
  <c r="E3" i="1"/>
</calcChain>
</file>

<file path=xl/sharedStrings.xml><?xml version="1.0" encoding="utf-8"?>
<sst xmlns="http://schemas.openxmlformats.org/spreadsheetml/2006/main" count="859" uniqueCount="218">
  <si>
    <t>لوحة متابعة الالتزام بخارطة ASP.NET Core</t>
  </si>
  <si>
    <t>تاريخ البداية</t>
  </si>
  <si>
    <t>الجلسات المكتملة</t>
  </si>
  <si>
    <t>مدة الخطة بالأيام</t>
  </si>
  <si>
    <t>جلسات قيد التنفيذ</t>
  </si>
  <si>
    <t>الحد الأدنى اليومي</t>
  </si>
  <si>
    <t>15 دقيقة</t>
  </si>
  <si>
    <t>الأيام المتوقفة</t>
  </si>
  <si>
    <t>الهدف الأسبوعي</t>
  </si>
  <si>
    <t>5 جلسات</t>
  </si>
  <si>
    <t>إجمالي الدقائق</t>
  </si>
  <si>
    <t>التركيز الحالي</t>
  </si>
  <si>
    <t>المرحلة 0 ثم المرحلة 1</t>
  </si>
  <si>
    <t>متوسط النقاط</t>
  </si>
  <si>
    <t>القاعدة</t>
  </si>
  <si>
    <t>لا تعلم بدون تطبيق</t>
  </si>
  <si>
    <t>Sprints مكتملة</t>
  </si>
  <si>
    <t>المشروع الرئيسي</t>
  </si>
  <si>
    <t>SalesInventory.Api أو GameStore.Api</t>
  </si>
  <si>
    <t>نسبة تقدم الخارطة</t>
  </si>
  <si>
    <t>طريقة استخدام الملف</t>
  </si>
  <si>
    <t>1. قبل النوم اكتب مهمة الغد في Daily_Tracker.</t>
  </si>
  <si>
    <t>2. نفذ جلسة مركزة واحدة على الأقل؛ الحد الأدنى 15 دقيقة.</t>
  </si>
  <si>
    <t>3. غيّر الحالة إلى تم/قيد التنفيذ/متوقف/محجوب واكتب خطوة الغد.</t>
  </si>
  <si>
    <t>4. كل جمعة املأ Weekly_Review وحدّث حالة Sprint_Plan.</t>
  </si>
  <si>
    <t>5. لا تقفز إلى Docker أو Keycloak أو Azure قبل اكتمال مخرج الأسبوع الحالي.</t>
  </si>
  <si>
    <t>الأسبوع</t>
  </si>
  <si>
    <t>المرحلة</t>
  </si>
  <si>
    <t>العنوان</t>
  </si>
  <si>
    <t>هدف الأسبوع</t>
  </si>
  <si>
    <t>محاور التركيز</t>
  </si>
  <si>
    <t>المخرج المطلوب</t>
  </si>
  <si>
    <t>الأولوية</t>
  </si>
  <si>
    <t>الحالة</t>
  </si>
  <si>
    <t>ملاحظات</t>
  </si>
  <si>
    <t>C# Refresh</t>
  </si>
  <si>
    <t>بناء هيكل Console App</t>
  </si>
  <si>
    <t>Classes + Entities + Services</t>
  </si>
  <si>
    <t>إنشاء Console App مرتب</t>
  </si>
  <si>
    <t>عالية</t>
  </si>
  <si>
    <t>لم يبدأ</t>
  </si>
  <si>
    <t>ASP.NET Core Essentials</t>
  </si>
  <si>
    <t>إنشاء API Skeleton + Products/Categories</t>
  </si>
  <si>
    <t>Minimal API, DTOs, DI, Swagger</t>
  </si>
  <si>
    <t>CRUD للمنتجات والتصنيفات</t>
  </si>
  <si>
    <t>إضافة Customers/Orders + EF Core</t>
  </si>
  <si>
    <t>DbContext, Migrations, Seeding</t>
  </si>
  <si>
    <t>Orders CRUD مع قاعدة بيانات</t>
  </si>
  <si>
    <t>Vertical Slice</t>
  </si>
  <si>
    <t>إعادة هيكلة Features</t>
  </si>
  <si>
    <t>Feature folders, Handlers, Validators</t>
  </si>
  <si>
    <t>Products/Orders كسلايس واضحة</t>
  </si>
  <si>
    <t>Advanced APIs</t>
  </si>
  <si>
    <t>إضافة Search/Pagination/Filtering</t>
  </si>
  <si>
    <t>Query patterns + Response format</t>
  </si>
  <si>
    <t>API للمنتجات قابل للبحث والتقسيم</t>
  </si>
  <si>
    <t>Error Handling + Files + Logging</t>
  </si>
  <si>
    <t>ProblemDetails, Middleware, Uploads</t>
  </si>
  <si>
    <t>رفع صورة + أخطاء موحدة</t>
  </si>
  <si>
    <t>Security</t>
  </si>
  <si>
    <t>JWT Roles/Policies</t>
  </si>
  <si>
    <t>JWT, Roles, Claims, Policies</t>
  </si>
  <si>
    <t>قواعد Admin/Seller/Customer</t>
  </si>
  <si>
    <t>Keycloak + Ownership Checks</t>
  </si>
  <si>
    <t>OAuth/OIDC, Resource Auth</t>
  </si>
  <si>
    <t>Customer يرى طلباته فقط</t>
  </si>
  <si>
    <t>EF Core Production</t>
  </si>
  <si>
    <t>Indexes, Transactions, Concurrency</t>
  </si>
  <si>
    <t>Fluent API, Transactions, Projections</t>
  </si>
  <si>
    <t>لا Entity مباشرة من API</t>
  </si>
  <si>
    <t>Docker</t>
  </si>
  <si>
    <t>Dockerize Full System</t>
  </si>
  <si>
    <t>Dockerfile, Compose, Env Vars</t>
  </si>
  <si>
    <t>docker compose up يعمل</t>
  </si>
  <si>
    <t>Azure</t>
  </si>
  <si>
    <t>تحضير النشر السحابي</t>
  </si>
  <si>
    <t>App Service, DB, Storage, Secrets</t>
  </si>
  <si>
    <t>API منشور على Staging</t>
  </si>
  <si>
    <t>متوسطة</t>
  </si>
  <si>
    <t>تقوية النشر</t>
  </si>
  <si>
    <t>Logs, Envs, Key Vault</t>
  </si>
  <si>
    <t>لا أسرار في المستودع</t>
  </si>
  <si>
    <t>.NET Aspire</t>
  </si>
  <si>
    <t>إنشاء AppHost</t>
  </si>
  <si>
    <t>ServiceDefaults, Health, Dashboard</t>
  </si>
  <si>
    <t>Dashboard يظهر الخدمات</t>
  </si>
  <si>
    <t>Payments</t>
  </si>
  <si>
    <t>Fake Payment Provider</t>
  </si>
  <si>
    <t>Checkout/Session/Webhook Basics</t>
  </si>
  <si>
    <t>Order -&gt; Payment Session</t>
  </si>
  <si>
    <t>Webhooks + Idempotency</t>
  </si>
  <si>
    <t>جعل Webhook آمناً</t>
  </si>
  <si>
    <t>Idempotency Keys, Transactions</t>
  </si>
  <si>
    <t>Webhook المكرر آمن</t>
  </si>
  <si>
    <t>Outbox + Workers</t>
  </si>
  <si>
    <t>Async Processing</t>
  </si>
  <si>
    <t>Queue, Worker, Outbox</t>
  </si>
  <si>
    <t>Payment Notification Worker</t>
  </si>
  <si>
    <t>Testing</t>
  </si>
  <si>
    <t>Integration Tests</t>
  </si>
  <si>
    <t>WebApplicationFactory/Testcontainers</t>
  </si>
  <si>
    <t>اختبار Core Endpoints</t>
  </si>
  <si>
    <t>Auth/Webhooks/Workers Tests</t>
  </si>
  <si>
    <t>Auth Mocks, Worker Behavior</t>
  </si>
  <si>
    <t>اختبار السيناريوهات الحرجة</t>
  </si>
  <si>
    <t>CI/CD</t>
  </si>
  <si>
    <t>Build/Test Pipeline</t>
  </si>
  <si>
    <t>GitHub Actions/Azure DevOps</t>
  </si>
  <si>
    <t>Build + Tests on Push</t>
  </si>
  <si>
    <t>Observability</t>
  </si>
  <si>
    <t>Tracing/Logging/Health</t>
  </si>
  <si>
    <t>Correlation IDs, Metrics</t>
  </si>
  <si>
    <t>فهم مسار الفشل</t>
  </si>
  <si>
    <t>Microservices Optional</t>
  </si>
  <si>
    <t>تحديد الحدود</t>
  </si>
  <si>
    <t>Catalog/Basket/Ordering/Payment</t>
  </si>
  <si>
    <t>وثيقة Boundaries</t>
  </si>
  <si>
    <t>اختياري</t>
  </si>
  <si>
    <t>فصل Catalog Service</t>
  </si>
  <si>
    <t>DB per Service, APIs</t>
  </si>
  <si>
    <t>Catalog Service مستقل</t>
  </si>
  <si>
    <t>Messaging + Gateway</t>
  </si>
  <si>
    <t>YARP, Events, Bus</t>
  </si>
  <si>
    <t>API Gateway + Events</t>
  </si>
  <si>
    <t>تثبيت وتوثيق</t>
  </si>
  <si>
    <t>Resilience, Eventual Consistency</t>
  </si>
  <si>
    <t>Architecture Notes منشورة</t>
  </si>
  <si>
    <t>التاريخ</t>
  </si>
  <si>
    <t>اليوم</t>
  </si>
  <si>
    <t>المهمة المخططة</t>
  </si>
  <si>
    <t>ما تم فعلياً</t>
  </si>
  <si>
    <t>الدقائق</t>
  </si>
  <si>
    <t>الطاقة</t>
  </si>
  <si>
    <t>العائق</t>
  </si>
  <si>
    <t>خطوة الغد</t>
  </si>
  <si>
    <t>النقاط</t>
  </si>
  <si>
    <t>Wednesday</t>
  </si>
  <si>
    <t>Thursday</t>
  </si>
  <si>
    <t>Friday</t>
  </si>
  <si>
    <t>Saturday</t>
  </si>
  <si>
    <t>Sunday</t>
  </si>
  <si>
    <t>Monday</t>
  </si>
  <si>
    <t>Tuesday</t>
  </si>
  <si>
    <t>المدة</t>
  </si>
  <si>
    <t>المخرج العملي</t>
  </si>
  <si>
    <t>ماذا أتعلم؟</t>
  </si>
  <si>
    <t>معيار الإكمال</t>
  </si>
  <si>
    <t>C# + OOP + SOLID Refresh</t>
  </si>
  <si>
    <t>1-2 أسبوع</t>
  </si>
  <si>
    <t>Console App لإدارة المنتجات والطلبات</t>
  </si>
  <si>
    <t>Classes, Interfaces, Records, LINQ, async/await, Generics, SOLID, DTOs, Validation</t>
  </si>
  <si>
    <t>لا تنتقل إلى ASP.NET Core قبل أن يكون تطبيق Console مرتباً ومفصول المسؤوليات</t>
  </si>
  <si>
    <t>أسبوعان</t>
  </si>
  <si>
    <t>API باسم SalesInventory.Api أو GameStore.Api</t>
  </si>
  <si>
    <t>Project Structure, Minimal APIs/Controllers, Routing, Status Codes, DTOs, DI, EF Core, Migrations, Configuration, Seeding, Swagger</t>
  </si>
  <si>
    <t>GET/POST/PUT/DELETE + DTOs + Validation + Migrations + Swagger + Git commits</t>
  </si>
  <si>
    <t>Vertical Slice Architecture</t>
  </si>
  <si>
    <t>أسبوع</t>
  </si>
  <si>
    <t>إعادة تنظيم CRUD إلى Features/Slices</t>
  </si>
  <si>
    <t>Feature-based folders, CQRS basics, Handlers, Validators, Requests/Responses</t>
  </si>
  <si>
    <t>إضافة Feature جديدة لا تتطلب لمس أماكن كثيرة بلا سبب</t>
  </si>
  <si>
    <t>ASP.NET Core Advanced</t>
  </si>
  <si>
    <t>API بسلوك قريب من Production</t>
  </si>
  <si>
    <t>CancellationToken, Logging, Middleware, ProblemDetails, Pagination, Filtering, Sorting, File Upload</t>
  </si>
  <si>
    <t>أخطاء موحدة، لا Stack Trace للمستخدم، Endpoints قابلة للبحث والتقسيم</t>
  </si>
  <si>
    <t>Security: JWT + Keycloak + OAuth/OIDC</t>
  </si>
  <si>
    <t>تأمين API بالأدوار والسياسات</t>
  </si>
  <si>
    <t>Authentication vs Authorization, JWT, Claims, Roles, Policies, Ownership Checks, Keycloak</t>
  </si>
  <si>
    <t>Customer لا يرى طلبات غيره، والمدير يستطيع إدارة الكل</t>
  </si>
  <si>
    <t>EF Core Production Practices</t>
  </si>
  <si>
    <t>قاعدة بيانات مناسبة لنظام حقيقي</t>
  </si>
  <si>
    <t>Fluent API, Indexes, Relationships, Transactions, Optimistic Concurrency, Projections, AsNoTracking</t>
  </si>
  <si>
    <t>لا Endpoint يرجع Entity مباشرة، ولا Business Logic داخل DbContext</t>
  </si>
  <si>
    <t>تشغيل النظام كاملاً بـ docker compose up</t>
  </si>
  <si>
    <t>Dockerfile, Multi-stage builds, Compose, Env Vars, Volumes, Networking, PostgreSQL, Redis optional, Health checks</t>
  </si>
  <si>
    <t>أي شخص يستطيع تشغيل النظام بدون إعدادات يدوية معقدة</t>
  </si>
  <si>
    <t>Cloud &amp; Azure</t>
  </si>
  <si>
    <t>API + DB + Storage منشورة</t>
  </si>
  <si>
    <t>Resource Groups, App Service, PostgreSQL, Storage, Key Vault, Managed Identity, Logs, Environments</t>
  </si>
  <si>
    <t>لا Secrets في GitHub، والنظام يعمل خارج جهازك المحلي</t>
  </si>
  <si>
    <t>Solution فيها Aspire Dashboard</t>
  </si>
  <si>
    <t>AppHost, ServiceDefaults, Orchestration, Health Checks, Logs, Traces, Metrics</t>
  </si>
  <si>
    <t>Dashboard يعرض الخدمات والاعتمادات والحالة</t>
  </si>
  <si>
    <t>Payments, Webhooks, Idempotency, Outbox</t>
  </si>
  <si>
    <t>2-3 أسابيع</t>
  </si>
  <si>
    <t>Payment Flow مع Worker وQueue</t>
  </si>
  <si>
    <t>Fake Payment Provider, Webhooks, Transactions, Idempotency, Queues, Outbox, Worker, DLQ</t>
  </si>
  <si>
    <t>تكرار Webhook لا يكرر الدفع أو الطلب</t>
  </si>
  <si>
    <t>اختبارات تلقائية للميزات الحرجة</t>
  </si>
  <si>
    <t>Unit Tests, Integration Tests, WebApplicationFactory, Testcontainers, Mocking, Auth Tests, Worker Tests</t>
  </si>
  <si>
    <t>الميزة المهمة لها اختبار، وليس الاعتماد على Postman فقط</t>
  </si>
  <si>
    <t>Pipeline للبناء والاختبار والنشر</t>
  </si>
  <si>
    <t>Git Branching, PRs, GitHub Actions/Azure DevOps, Docker Image, Deploy, Secrets</t>
  </si>
  <si>
    <t>أي Push إلى main يشغل Build + Tests على الأقل</t>
  </si>
  <si>
    <t>جاهزية لفهم مشاكل Production</t>
  </si>
  <si>
    <t>Structured Logging, Correlation IDs, Tracing, Metrics, Health Checks, Slow Query Diagnosis</t>
  </si>
  <si>
    <t>يمكن معرفة المستخدم والطلب ومكان الفشل والمدة</t>
  </si>
  <si>
    <t>Microservices optional</t>
  </si>
  <si>
    <t>3-4 أسابيع</t>
  </si>
  <si>
    <t>الفصل بعد نضج Modular Monolith</t>
  </si>
  <si>
    <t>Service Boundaries, DB per Service, API Gateway, Sync/Async Communication, Events, Saga, Eventual Consistency</t>
  </si>
  <si>
    <t>كل Service تملك قاعدة بياناتها ولا تدخل على قاعدة غيرها مباشرة</t>
  </si>
  <si>
    <t>المخرج المخطط</t>
  </si>
  <si>
    <t>المخرج الفعلي</t>
  </si>
  <si>
    <t>جلسات مكتملة</t>
  </si>
  <si>
    <t>العائق الرئيسي</t>
  </si>
  <si>
    <t>تصحيح الأسبوع القادم</t>
  </si>
  <si>
    <t>نتيجة المراجعة</t>
  </si>
  <si>
    <t>ممتاز</t>
  </si>
  <si>
    <t>قيد التنفيذ</t>
  </si>
  <si>
    <t>جيد</t>
  </si>
  <si>
    <t>تم</t>
  </si>
  <si>
    <t>منخفضة</t>
  </si>
  <si>
    <t>يحتاج تعديل</t>
  </si>
  <si>
    <t>متوقف</t>
  </si>
  <si>
    <t>منخفضة جداً</t>
  </si>
  <si>
    <t>إعادة ضبط</t>
  </si>
  <si>
    <t>محجوب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</si>
</sst>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111827"/>
      <name val="Arial"/>
    </font>
    <font>
      <b/>
      <sz val="10"/>
      <color rgb="FF1F2937"/>
      <name val="Arial"/>
    </font>
    <font>
      <b/>
      <sz val="16"/>
      <color rgb="FFFFFFFF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172A"/>
      </patternFill>
    </fill>
    <fill>
      <patternFill patternType="solid">
        <fgColor rgb="FFD9EAF7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/>
    <xf numFmtId="0" fontId="2" fillId="5" borderId="0" xfId="1" applyFont="1" applyFill="1" applyAlignment="1">
      <alignment wrapText="1"/>
    </xf>
    <xf numFmtId="164" fontId="2" fillId="5" borderId="0" xfId="1" applyNumberFormat="1" applyFont="1" applyFill="1" applyAlignment="1">
      <alignment wrapText="1"/>
    </xf>
    <xf numFmtId="0" fontId="3" fillId="5" borderId="0" xfId="1" applyFont="1" applyFill="1" applyAlignment="1">
      <alignment horizontal="center"/>
    </xf>
    <xf numFmtId="9" fontId="3" fillId="5" borderId="0" xfId="1" applyNumberFormat="1" applyFont="1" applyFill="1" applyAlignment="1">
      <alignment horizontal="center"/>
    </xf>
    <xf numFmtId="2" fontId="3" fillId="5" borderId="0" xfId="1" applyNumberFormat="1" applyFont="1" applyFill="1" applyAlignment="1">
      <alignment horizontal="center"/>
    </xf>
    <xf numFmtId="0" fontId="5" fillId="4" borderId="0" xfId="1" applyFont="1" applyFill="1" applyAlignment="1">
      <alignment horizontal="center" vertical="center" wrapText="1"/>
    </xf>
    <xf numFmtId="164" fontId="1" fillId="2" borderId="0" xfId="1" applyNumberFormat="1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vertical="center"/>
    </xf>
    <xf numFmtId="0" fontId="4" fillId="5" borderId="0" xfId="1" applyFont="1" applyFill="1" applyAlignment="1">
      <alignment wrapText="1"/>
    </xf>
  </cellXfs>
  <cellStyles count="2">
    <cellStyle name="Normal" xfId="1" xr:uid="{00000000-0005-0000-0000-000000000000}"/>
    <cellStyle name="عادي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الدقائق</c:v>
          </c:tx>
          <c:invertIfNegative val="1"/>
          <c:cat>
            <c:numRef>
              <c:f>Weekly_Review!$A$2:$A$25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Weekly_Review!$E$2:$E$25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6-44DF-8E45-9D05C31E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printTable" displayName="SprintTable" ref="A1:I25">
  <tableColumns count="9">
    <tableColumn id="1" xr3:uid="{00000000-0010-0000-0000-000001000000}" name="الأسبوع"/>
    <tableColumn id="2" xr3:uid="{00000000-0010-0000-0000-000002000000}" name="المرحلة"/>
    <tableColumn id="3" xr3:uid="{00000000-0010-0000-0000-000003000000}" name="العنوان"/>
    <tableColumn id="4" xr3:uid="{00000000-0010-0000-0000-000004000000}" name="هدف الأسبوع"/>
    <tableColumn id="5" xr3:uid="{00000000-0010-0000-0000-000005000000}" name="محاور التركيز"/>
    <tableColumn id="6" xr3:uid="{00000000-0010-0000-0000-000006000000}" name="المخرج المطلوب"/>
    <tableColumn id="7" xr3:uid="{00000000-0010-0000-0000-000007000000}" name="الأولوية"/>
    <tableColumn id="8" xr3:uid="{00000000-0010-0000-0000-000008000000}" name="الحالة"/>
    <tableColumn id="9" xr3:uid="{00000000-0010-0000-0000-000009000000}" name="ملاحظا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ailyTrackerTable" displayName="DailyTrackerTable" ref="A1:K181">
  <tableColumns count="11">
    <tableColumn id="1" xr3:uid="{00000000-0010-0000-0100-000001000000}" name="التاريخ"/>
    <tableColumn id="2" xr3:uid="{00000000-0010-0000-0100-000002000000}" name="الأسبوع"/>
    <tableColumn id="3" xr3:uid="{00000000-0010-0000-0100-000003000000}" name="اليوم"/>
    <tableColumn id="4" xr3:uid="{00000000-0010-0000-0100-000004000000}" name="المهمة المخططة"/>
    <tableColumn id="5" xr3:uid="{00000000-0010-0000-0100-000005000000}" name="ما تم فعلياً"/>
    <tableColumn id="6" xr3:uid="{00000000-0010-0000-0100-000006000000}" name="الدقائق"/>
    <tableColumn id="7" xr3:uid="{00000000-0010-0000-0100-000007000000}" name="الحالة"/>
    <tableColumn id="8" xr3:uid="{00000000-0010-0000-0100-000008000000}" name="الطاقة"/>
    <tableColumn id="9" xr3:uid="{00000000-0010-0000-0100-000009000000}" name="العائق"/>
    <tableColumn id="10" xr3:uid="{00000000-0010-0000-0100-00000A000000}" name="خطوة الغد"/>
    <tableColumn id="11" xr3:uid="{00000000-0010-0000-0100-00000B000000}" name="النقا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RoadmapTable" displayName="RoadmapTable" ref="A1:F15">
  <tableColumns count="6">
    <tableColumn id="1" xr3:uid="{00000000-0010-0000-0200-000001000000}" name="المرحلة"/>
    <tableColumn id="2" xr3:uid="{00000000-0010-0000-0200-000002000000}" name="العنوان"/>
    <tableColumn id="3" xr3:uid="{00000000-0010-0000-0200-000003000000}" name="المدة"/>
    <tableColumn id="4" xr3:uid="{00000000-0010-0000-0200-000004000000}" name="المخرج العملي"/>
    <tableColumn id="5" xr3:uid="{00000000-0010-0000-0200-000005000000}" name="ماذا أتعلم؟"/>
    <tableColumn id="6" xr3:uid="{00000000-0010-0000-0200-000006000000}" name="معيار الإكما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eeklyReviewTable" displayName="WeeklyReviewTable" ref="A1:H25">
  <tableColumns count="8">
    <tableColumn id="1" xr3:uid="{00000000-0010-0000-0300-000001000000}" name="الأسبوع"/>
    <tableColumn id="2" xr3:uid="{00000000-0010-0000-0300-000002000000}" name="المخرج المخطط"/>
    <tableColumn id="3" xr3:uid="{00000000-0010-0000-0300-000003000000}" name="المخرج الفعلي"/>
    <tableColumn id="4" xr3:uid="{00000000-0010-0000-0300-000004000000}" name="جلسات مكتملة"/>
    <tableColumn id="5" xr3:uid="{00000000-0010-0000-0300-000005000000}" name="إجمالي الدقائق"/>
    <tableColumn id="6" xr3:uid="{00000000-0010-0000-0300-000006000000}" name="العائق الرئيسي"/>
    <tableColumn id="7" xr3:uid="{00000000-0010-0000-0300-000007000000}" name="تصحيح الأسبوع القادم"/>
    <tableColumn id="8" xr3:uid="{00000000-0010-0000-0300-000008000000}" name="نتيجة المراجع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rightToLeft="1" tabSelected="1" workbookViewId="0">
      <selection activeCell="E3" sqref="E3"/>
    </sheetView>
  </sheetViews>
  <sheetFormatPr defaultRowHeight="13.8"/>
  <cols>
    <col min="1" max="8" width="18" customWidth="1"/>
  </cols>
  <sheetData>
    <row r="1" spans="1:11" ht="2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8" t="s">
        <v>1</v>
      </c>
      <c r="B3" s="4">
        <v>46190</v>
      </c>
      <c r="C3" s="2"/>
      <c r="D3" s="8" t="s">
        <v>2</v>
      </c>
      <c r="E3" s="5">
        <f>COUNTIF(Daily_Tracker!$G:$G,"تم")</f>
        <v>0</v>
      </c>
      <c r="F3" s="2"/>
      <c r="G3" s="2"/>
      <c r="H3" s="2"/>
      <c r="I3" s="2"/>
      <c r="J3" s="2"/>
      <c r="K3" s="2"/>
    </row>
    <row r="4" spans="1:11">
      <c r="A4" s="8" t="s">
        <v>3</v>
      </c>
      <c r="B4" s="3">
        <v>180</v>
      </c>
      <c r="C4" s="2"/>
      <c r="D4" s="8" t="s">
        <v>4</v>
      </c>
      <c r="E4" s="5">
        <f>COUNTIF(Daily_Tracker!$G:$G,"قيد التنفيذ")</f>
        <v>0</v>
      </c>
      <c r="F4" s="2"/>
      <c r="G4" s="2"/>
      <c r="H4" s="2"/>
      <c r="I4" s="2"/>
      <c r="J4" s="2"/>
      <c r="K4" s="2"/>
    </row>
    <row r="5" spans="1:11">
      <c r="A5" s="8" t="s">
        <v>5</v>
      </c>
      <c r="B5" s="3" t="s">
        <v>6</v>
      </c>
      <c r="C5" s="2"/>
      <c r="D5" s="8" t="s">
        <v>7</v>
      </c>
      <c r="E5" s="5">
        <f>COUNTIF(Daily_Tracker!$G:$G,"متوقف")</f>
        <v>0</v>
      </c>
      <c r="F5" s="2"/>
      <c r="G5" s="2"/>
      <c r="H5" s="2"/>
      <c r="I5" s="2"/>
      <c r="J5" s="2"/>
      <c r="K5" s="2"/>
    </row>
    <row r="6" spans="1:11">
      <c r="A6" s="8" t="s">
        <v>8</v>
      </c>
      <c r="B6" s="3" t="s">
        <v>9</v>
      </c>
      <c r="C6" s="2"/>
      <c r="D6" s="8" t="s">
        <v>10</v>
      </c>
      <c r="E6" s="5">
        <f>SUM(Daily_Tracker!$F:$F)</f>
        <v>0</v>
      </c>
      <c r="F6" s="2"/>
      <c r="G6" s="2"/>
      <c r="H6" s="2"/>
      <c r="I6" s="2"/>
      <c r="J6" s="2"/>
      <c r="K6" s="2"/>
    </row>
    <row r="7" spans="1:11">
      <c r="A7" s="8" t="s">
        <v>11</v>
      </c>
      <c r="B7" s="3" t="s">
        <v>12</v>
      </c>
      <c r="C7" s="2"/>
      <c r="D7" s="8" t="s">
        <v>13</v>
      </c>
      <c r="E7" s="7">
        <f>IFERROR(AVERAGE(Daily_Tracker!$K$2:$K$181),0)</f>
        <v>0</v>
      </c>
      <c r="F7" s="2"/>
      <c r="G7" s="2"/>
      <c r="H7" s="2"/>
      <c r="I7" s="2"/>
      <c r="J7" s="2"/>
      <c r="K7" s="2"/>
    </row>
    <row r="8" spans="1:11">
      <c r="A8" s="8" t="s">
        <v>14</v>
      </c>
      <c r="B8" s="3" t="s">
        <v>15</v>
      </c>
      <c r="C8" s="2"/>
      <c r="D8" s="8" t="s">
        <v>16</v>
      </c>
      <c r="E8" s="5">
        <f>COUNTIF(Sprint_Plan!$H:$H,"تم")</f>
        <v>0</v>
      </c>
      <c r="F8" s="2"/>
      <c r="G8" s="2"/>
      <c r="H8" s="2"/>
      <c r="I8" s="2"/>
      <c r="J8" s="2"/>
      <c r="K8" s="2"/>
    </row>
    <row r="9" spans="1:11" ht="26.4">
      <c r="A9" s="8" t="s">
        <v>17</v>
      </c>
      <c r="B9" s="3" t="s">
        <v>18</v>
      </c>
      <c r="C9" s="2"/>
      <c r="D9" s="8" t="s">
        <v>19</v>
      </c>
      <c r="E9" s="6">
        <f>IFERROR(COUNTIF(Sprint_Plan!$H:$H,"تم")/24,0)</f>
        <v>0</v>
      </c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1">
      <c r="A12" s="10" t="s">
        <v>20</v>
      </c>
      <c r="B12" s="10"/>
      <c r="C12" s="10"/>
      <c r="D12" s="10"/>
      <c r="E12" s="10"/>
      <c r="F12" s="10"/>
      <c r="G12" s="10"/>
      <c r="H12" s="10"/>
      <c r="I12" s="2"/>
      <c r="J12" s="2"/>
      <c r="K12" s="2"/>
    </row>
    <row r="13" spans="1:11" ht="24" customHeight="1">
      <c r="A13" s="11" t="s">
        <v>21</v>
      </c>
      <c r="B13" s="11"/>
      <c r="C13" s="11"/>
      <c r="D13" s="11"/>
      <c r="E13" s="11"/>
      <c r="F13" s="11"/>
      <c r="G13" s="11"/>
      <c r="H13" s="11"/>
      <c r="I13" s="2"/>
      <c r="J13" s="2"/>
      <c r="K13" s="2"/>
    </row>
    <row r="14" spans="1:11" ht="24" customHeight="1">
      <c r="A14" s="11" t="s">
        <v>22</v>
      </c>
      <c r="B14" s="11"/>
      <c r="C14" s="11"/>
      <c r="D14" s="11"/>
      <c r="E14" s="11"/>
      <c r="F14" s="11"/>
      <c r="G14" s="11"/>
      <c r="H14" s="11"/>
      <c r="I14" s="2"/>
      <c r="J14" s="2"/>
      <c r="K14" s="2"/>
    </row>
    <row r="15" spans="1:11" ht="24" customHeight="1">
      <c r="A15" s="11" t="s">
        <v>23</v>
      </c>
      <c r="B15" s="11"/>
      <c r="C15" s="11"/>
      <c r="D15" s="11"/>
      <c r="E15" s="11"/>
      <c r="F15" s="11"/>
      <c r="G15" s="11"/>
      <c r="H15" s="11"/>
      <c r="I15" s="2"/>
      <c r="J15" s="2"/>
      <c r="K15" s="2"/>
    </row>
    <row r="16" spans="1:11" ht="24" customHeight="1">
      <c r="A16" s="11" t="s">
        <v>24</v>
      </c>
      <c r="B16" s="11"/>
      <c r="C16" s="11"/>
      <c r="D16" s="11"/>
      <c r="E16" s="11"/>
      <c r="F16" s="11"/>
      <c r="G16" s="11"/>
      <c r="H16" s="11"/>
      <c r="I16" s="2"/>
      <c r="J16" s="2"/>
      <c r="K16" s="2"/>
    </row>
    <row r="17" spans="1:11" ht="24" customHeight="1">
      <c r="A17" s="11" t="s">
        <v>25</v>
      </c>
      <c r="B17" s="11"/>
      <c r="C17" s="11"/>
      <c r="D17" s="11"/>
      <c r="E17" s="11"/>
      <c r="F17" s="11"/>
      <c r="G17" s="11"/>
      <c r="H17" s="11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mergeCells count="7">
    <mergeCell ref="A16:H16"/>
    <mergeCell ref="A17:H17"/>
    <mergeCell ref="A1:H1"/>
    <mergeCell ref="A12:H12"/>
    <mergeCell ref="A13:H13"/>
    <mergeCell ref="A14:H1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rightToLeft="1" workbookViewId="0">
      <selection activeCell="F2" sqref="F2"/>
    </sheetView>
  </sheetViews>
  <sheetFormatPr defaultRowHeight="13.8"/>
  <cols>
    <col min="1" max="2" width="8" customWidth="1"/>
    <col min="3" max="3" width="24" customWidth="1"/>
    <col min="4" max="4" width="38" customWidth="1"/>
    <col min="5" max="5" width="40" customWidth="1"/>
    <col min="6" max="6" width="34" customWidth="1"/>
    <col min="7" max="7" width="12" customWidth="1"/>
    <col min="8" max="8" width="15" customWidth="1"/>
    <col min="9" max="9" width="34" customWidth="1"/>
  </cols>
  <sheetData>
    <row r="1" spans="1:11" ht="24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2"/>
      <c r="K1" s="2"/>
    </row>
    <row r="2" spans="1:11">
      <c r="A2" s="2">
        <v>1</v>
      </c>
      <c r="B2" s="2">
        <v>0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/>
      <c r="J2" s="2"/>
      <c r="K2" s="2"/>
    </row>
    <row r="3" spans="1:11">
      <c r="A3" s="2">
        <v>2</v>
      </c>
      <c r="B3" s="2">
        <v>1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39</v>
      </c>
      <c r="H3" s="2" t="s">
        <v>40</v>
      </c>
      <c r="I3" s="2"/>
      <c r="J3" s="2"/>
      <c r="K3" s="2"/>
    </row>
    <row r="4" spans="1:11">
      <c r="A4" s="2">
        <v>3</v>
      </c>
      <c r="B4" s="2">
        <v>1</v>
      </c>
      <c r="C4" s="2" t="s">
        <v>41</v>
      </c>
      <c r="D4" s="2" t="s">
        <v>45</v>
      </c>
      <c r="E4" s="2" t="s">
        <v>46</v>
      </c>
      <c r="F4" s="2" t="s">
        <v>47</v>
      </c>
      <c r="G4" s="2" t="s">
        <v>39</v>
      </c>
      <c r="H4" s="2" t="s">
        <v>40</v>
      </c>
      <c r="I4" s="2"/>
      <c r="J4" s="2"/>
      <c r="K4" s="2"/>
    </row>
    <row r="5" spans="1:11">
      <c r="A5" s="2">
        <v>4</v>
      </c>
      <c r="B5" s="2">
        <v>2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39</v>
      </c>
      <c r="H5" s="2" t="s">
        <v>40</v>
      </c>
      <c r="I5" s="2"/>
      <c r="J5" s="2"/>
      <c r="K5" s="2"/>
    </row>
    <row r="6" spans="1:11">
      <c r="A6" s="2">
        <v>5</v>
      </c>
      <c r="B6" s="2">
        <v>3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39</v>
      </c>
      <c r="H6" s="2" t="s">
        <v>40</v>
      </c>
      <c r="I6" s="2"/>
      <c r="J6" s="2"/>
      <c r="K6" s="2"/>
    </row>
    <row r="7" spans="1:11">
      <c r="A7" s="2">
        <v>6</v>
      </c>
      <c r="B7" s="2">
        <v>3</v>
      </c>
      <c r="C7" s="2" t="s">
        <v>52</v>
      </c>
      <c r="D7" s="2" t="s">
        <v>56</v>
      </c>
      <c r="E7" s="2" t="s">
        <v>57</v>
      </c>
      <c r="F7" s="2" t="s">
        <v>58</v>
      </c>
      <c r="G7" s="2" t="s">
        <v>39</v>
      </c>
      <c r="H7" s="2" t="s">
        <v>40</v>
      </c>
      <c r="I7" s="2"/>
      <c r="J7" s="2"/>
      <c r="K7" s="2"/>
    </row>
    <row r="8" spans="1:11">
      <c r="A8" s="2">
        <v>7</v>
      </c>
      <c r="B8" s="2">
        <v>4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39</v>
      </c>
      <c r="H8" s="2" t="s">
        <v>40</v>
      </c>
      <c r="I8" s="2"/>
      <c r="J8" s="2"/>
      <c r="K8" s="2"/>
    </row>
    <row r="9" spans="1:11">
      <c r="A9" s="2">
        <v>8</v>
      </c>
      <c r="B9" s="2">
        <v>4</v>
      </c>
      <c r="C9" s="2" t="s">
        <v>59</v>
      </c>
      <c r="D9" s="2" t="s">
        <v>63</v>
      </c>
      <c r="E9" s="2" t="s">
        <v>64</v>
      </c>
      <c r="F9" s="2" t="s">
        <v>65</v>
      </c>
      <c r="G9" s="2" t="s">
        <v>39</v>
      </c>
      <c r="H9" s="2" t="s">
        <v>40</v>
      </c>
      <c r="I9" s="2"/>
      <c r="J9" s="2"/>
      <c r="K9" s="2"/>
    </row>
    <row r="10" spans="1:11">
      <c r="A10" s="2">
        <v>9</v>
      </c>
      <c r="B10" s="2">
        <v>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39</v>
      </c>
      <c r="H10" s="2" t="s">
        <v>40</v>
      </c>
      <c r="I10" s="2"/>
      <c r="J10" s="2"/>
      <c r="K10" s="2"/>
    </row>
    <row r="11" spans="1:11">
      <c r="A11" s="2">
        <v>10</v>
      </c>
      <c r="B11" s="2">
        <v>6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39</v>
      </c>
      <c r="H11" s="2" t="s">
        <v>40</v>
      </c>
      <c r="I11" s="2"/>
      <c r="J11" s="2"/>
      <c r="K11" s="2"/>
    </row>
    <row r="12" spans="1:11">
      <c r="A12" s="2">
        <v>11</v>
      </c>
      <c r="B12" s="2">
        <v>7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40</v>
      </c>
      <c r="I12" s="2"/>
      <c r="J12" s="2"/>
      <c r="K12" s="2"/>
    </row>
    <row r="13" spans="1:11">
      <c r="A13" s="2">
        <v>12</v>
      </c>
      <c r="B13" s="2">
        <v>7</v>
      </c>
      <c r="C13" s="2" t="s">
        <v>74</v>
      </c>
      <c r="D13" s="2" t="s">
        <v>79</v>
      </c>
      <c r="E13" s="2" t="s">
        <v>80</v>
      </c>
      <c r="F13" s="2" t="s">
        <v>81</v>
      </c>
      <c r="G13" s="2" t="s">
        <v>78</v>
      </c>
      <c r="H13" s="2" t="s">
        <v>40</v>
      </c>
      <c r="I13" s="2"/>
      <c r="J13" s="2"/>
      <c r="K13" s="2"/>
    </row>
    <row r="14" spans="1:11">
      <c r="A14" s="2">
        <v>13</v>
      </c>
      <c r="B14" s="2">
        <v>8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78</v>
      </c>
      <c r="H14" s="2" t="s">
        <v>40</v>
      </c>
      <c r="I14" s="2"/>
      <c r="J14" s="2"/>
      <c r="K14" s="2"/>
    </row>
    <row r="15" spans="1:11">
      <c r="A15" s="2">
        <v>14</v>
      </c>
      <c r="B15" s="2">
        <v>9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39</v>
      </c>
      <c r="H15" s="2" t="s">
        <v>40</v>
      </c>
      <c r="I15" s="2"/>
      <c r="J15" s="2"/>
      <c r="K15" s="2"/>
    </row>
    <row r="16" spans="1:11">
      <c r="A16" s="2">
        <v>15</v>
      </c>
      <c r="B16" s="2">
        <v>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39</v>
      </c>
      <c r="H16" s="2" t="s">
        <v>40</v>
      </c>
      <c r="I16" s="2"/>
      <c r="J16" s="2"/>
      <c r="K16" s="2"/>
    </row>
    <row r="17" spans="1:11">
      <c r="A17" s="2">
        <v>16</v>
      </c>
      <c r="B17" s="2">
        <v>9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39</v>
      </c>
      <c r="H17" s="2" t="s">
        <v>40</v>
      </c>
      <c r="I17" s="2"/>
      <c r="J17" s="2"/>
      <c r="K17" s="2"/>
    </row>
    <row r="18" spans="1:11">
      <c r="A18" s="2">
        <v>17</v>
      </c>
      <c r="B18" s="2">
        <v>10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39</v>
      </c>
      <c r="H18" s="2" t="s">
        <v>40</v>
      </c>
      <c r="I18" s="2"/>
      <c r="J18" s="2"/>
      <c r="K18" s="2"/>
    </row>
    <row r="19" spans="1:11">
      <c r="A19" s="2">
        <v>18</v>
      </c>
      <c r="B19" s="2">
        <v>10</v>
      </c>
      <c r="C19" s="2" t="s">
        <v>98</v>
      </c>
      <c r="D19" s="2" t="s">
        <v>102</v>
      </c>
      <c r="E19" s="2" t="s">
        <v>103</v>
      </c>
      <c r="F19" s="2" t="s">
        <v>104</v>
      </c>
      <c r="G19" s="2" t="s">
        <v>39</v>
      </c>
      <c r="H19" s="2" t="s">
        <v>40</v>
      </c>
      <c r="I19" s="2"/>
      <c r="J19" s="2"/>
      <c r="K19" s="2"/>
    </row>
    <row r="20" spans="1:11">
      <c r="A20" s="2">
        <v>19</v>
      </c>
      <c r="B20" s="2">
        <v>11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39</v>
      </c>
      <c r="H20" s="2" t="s">
        <v>40</v>
      </c>
      <c r="I20" s="2"/>
      <c r="J20" s="2"/>
      <c r="K20" s="2"/>
    </row>
    <row r="21" spans="1:11">
      <c r="A21" s="2">
        <v>20</v>
      </c>
      <c r="B21" s="2">
        <v>12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78</v>
      </c>
      <c r="H21" s="2" t="s">
        <v>40</v>
      </c>
      <c r="I21" s="2"/>
      <c r="J21" s="2"/>
      <c r="K21" s="2"/>
    </row>
    <row r="22" spans="1:11">
      <c r="A22" s="2">
        <v>21</v>
      </c>
      <c r="B22" s="2">
        <v>13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117</v>
      </c>
      <c r="H22" s="2" t="s">
        <v>40</v>
      </c>
      <c r="I22" s="2"/>
      <c r="J22" s="2"/>
      <c r="K22" s="2"/>
    </row>
    <row r="23" spans="1:11">
      <c r="A23" s="2">
        <v>22</v>
      </c>
      <c r="B23" s="2">
        <v>13</v>
      </c>
      <c r="C23" s="2" t="s">
        <v>113</v>
      </c>
      <c r="D23" s="2" t="s">
        <v>118</v>
      </c>
      <c r="E23" s="2" t="s">
        <v>119</v>
      </c>
      <c r="F23" s="2" t="s">
        <v>120</v>
      </c>
      <c r="G23" s="2" t="s">
        <v>117</v>
      </c>
      <c r="H23" s="2" t="s">
        <v>40</v>
      </c>
      <c r="I23" s="2"/>
      <c r="J23" s="2"/>
      <c r="K23" s="2"/>
    </row>
    <row r="24" spans="1:11">
      <c r="A24" s="2">
        <v>23</v>
      </c>
      <c r="B24" s="2">
        <v>13</v>
      </c>
      <c r="C24" s="2" t="s">
        <v>113</v>
      </c>
      <c r="D24" s="2" t="s">
        <v>121</v>
      </c>
      <c r="E24" s="2" t="s">
        <v>122</v>
      </c>
      <c r="F24" s="2" t="s">
        <v>123</v>
      </c>
      <c r="G24" s="2" t="s">
        <v>117</v>
      </c>
      <c r="H24" s="2" t="s">
        <v>40</v>
      </c>
      <c r="I24" s="2"/>
      <c r="J24" s="2"/>
      <c r="K24" s="2"/>
    </row>
    <row r="25" spans="1:11">
      <c r="A25" s="2">
        <v>24</v>
      </c>
      <c r="B25" s="2">
        <v>13</v>
      </c>
      <c r="C25" s="2" t="s">
        <v>113</v>
      </c>
      <c r="D25" s="2" t="s">
        <v>124</v>
      </c>
      <c r="E25" s="2" t="s">
        <v>125</v>
      </c>
      <c r="F25" s="2" t="s">
        <v>126</v>
      </c>
      <c r="G25" s="2" t="s">
        <v>117</v>
      </c>
      <c r="H25" s="2" t="s">
        <v>40</v>
      </c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Lists!$B$2:$B$5</xm:f>
          </x14:formula1>
          <xm:sqref>G2:G25</xm:sqref>
        </x14:dataValidation>
        <x14:dataValidation type="list" xr:uid="{00000000-0002-0000-0100-000001000000}">
          <x14:formula1>
            <xm:f>Lists!$A$2:$A$6</xm:f>
          </x14:formula1>
          <xm:sqref>H2:H25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rightToLeft="1" workbookViewId="0">
      <selection activeCell="E2" sqref="E2"/>
    </sheetView>
  </sheetViews>
  <sheetFormatPr defaultRowHeight="13.8"/>
  <cols>
    <col min="1" max="1" width="14" customWidth="1"/>
    <col min="2" max="2" width="8" customWidth="1"/>
    <col min="3" max="3" width="12" customWidth="1"/>
    <col min="4" max="5" width="38" customWidth="1"/>
    <col min="6" max="6" width="10" customWidth="1"/>
    <col min="7" max="7" width="15" customWidth="1"/>
    <col min="8" max="8" width="13" customWidth="1"/>
    <col min="9" max="9" width="30" customWidth="1"/>
    <col min="10" max="10" width="34" customWidth="1"/>
    <col min="11" max="11" width="8" customWidth="1"/>
  </cols>
  <sheetData>
    <row r="1" spans="1:11" ht="24" customHeight="1">
      <c r="A1" s="9" t="s">
        <v>127</v>
      </c>
      <c r="B1" s="1" t="s">
        <v>26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33</v>
      </c>
      <c r="H1" s="1" t="s">
        <v>132</v>
      </c>
      <c r="I1" s="1" t="s">
        <v>133</v>
      </c>
      <c r="J1" s="1" t="s">
        <v>134</v>
      </c>
      <c r="K1" s="1" t="s">
        <v>135</v>
      </c>
    </row>
    <row r="2" spans="1:11">
      <c r="A2" s="2">
        <v>46190</v>
      </c>
      <c r="B2" s="2">
        <v>1</v>
      </c>
      <c r="C2" s="2" t="s">
        <v>136</v>
      </c>
      <c r="D2" s="2" t="s">
        <v>36</v>
      </c>
      <c r="E2" s="2"/>
      <c r="F2" s="2">
        <v>0</v>
      </c>
      <c r="G2" s="2" t="s">
        <v>40</v>
      </c>
      <c r="H2" s="2"/>
      <c r="I2" s="2"/>
      <c r="J2" s="2"/>
      <c r="K2" s="2">
        <f t="shared" ref="K2:K33" si="0">IF(G2="تم",3,IF(G2="قيد التنفيذ",2,IF(G2="محجوب",1,IF(G2="متوقف",0,0))))</f>
        <v>0</v>
      </c>
    </row>
    <row r="3" spans="1:11">
      <c r="A3" s="2">
        <v>46191</v>
      </c>
      <c r="B3" s="2">
        <v>1</v>
      </c>
      <c r="C3" s="2" t="s">
        <v>137</v>
      </c>
      <c r="D3" s="2" t="s">
        <v>36</v>
      </c>
      <c r="E3" s="2"/>
      <c r="F3" s="2">
        <v>0</v>
      </c>
      <c r="G3" s="2" t="s">
        <v>40</v>
      </c>
      <c r="H3" s="2"/>
      <c r="I3" s="2"/>
      <c r="J3" s="2"/>
      <c r="K3" s="2">
        <f t="shared" si="0"/>
        <v>0</v>
      </c>
    </row>
    <row r="4" spans="1:11">
      <c r="A4" s="2">
        <v>46192</v>
      </c>
      <c r="B4" s="2">
        <v>1</v>
      </c>
      <c r="C4" s="2" t="s">
        <v>138</v>
      </c>
      <c r="D4" s="2" t="s">
        <v>36</v>
      </c>
      <c r="E4" s="2"/>
      <c r="F4" s="2">
        <v>0</v>
      </c>
      <c r="G4" s="2" t="s">
        <v>40</v>
      </c>
      <c r="H4" s="2"/>
      <c r="I4" s="2"/>
      <c r="J4" s="2"/>
      <c r="K4" s="2">
        <f t="shared" si="0"/>
        <v>0</v>
      </c>
    </row>
    <row r="5" spans="1:11">
      <c r="A5" s="2">
        <v>46193</v>
      </c>
      <c r="B5" s="2">
        <v>1</v>
      </c>
      <c r="C5" s="2" t="s">
        <v>139</v>
      </c>
      <c r="D5" s="2" t="s">
        <v>36</v>
      </c>
      <c r="E5" s="2"/>
      <c r="F5" s="2">
        <v>0</v>
      </c>
      <c r="G5" s="2" t="s">
        <v>40</v>
      </c>
      <c r="H5" s="2"/>
      <c r="I5" s="2"/>
      <c r="J5" s="2"/>
      <c r="K5" s="2">
        <f t="shared" si="0"/>
        <v>0</v>
      </c>
    </row>
    <row r="6" spans="1:11">
      <c r="A6" s="2">
        <v>46194</v>
      </c>
      <c r="B6" s="2">
        <v>1</v>
      </c>
      <c r="C6" s="2" t="s">
        <v>140</v>
      </c>
      <c r="D6" s="2" t="s">
        <v>36</v>
      </c>
      <c r="E6" s="2"/>
      <c r="F6" s="2">
        <v>0</v>
      </c>
      <c r="G6" s="2" t="s">
        <v>40</v>
      </c>
      <c r="H6" s="2"/>
      <c r="I6" s="2"/>
      <c r="J6" s="2"/>
      <c r="K6" s="2">
        <f t="shared" si="0"/>
        <v>0</v>
      </c>
    </row>
    <row r="7" spans="1:11">
      <c r="A7" s="2">
        <v>46195</v>
      </c>
      <c r="B7" s="2">
        <v>1</v>
      </c>
      <c r="C7" s="2" t="s">
        <v>141</v>
      </c>
      <c r="D7" s="2" t="s">
        <v>36</v>
      </c>
      <c r="E7" s="2"/>
      <c r="F7" s="2">
        <v>0</v>
      </c>
      <c r="G7" s="2" t="s">
        <v>40</v>
      </c>
      <c r="H7" s="2"/>
      <c r="I7" s="2"/>
      <c r="J7" s="2"/>
      <c r="K7" s="2">
        <f t="shared" si="0"/>
        <v>0</v>
      </c>
    </row>
    <row r="8" spans="1:11">
      <c r="A8" s="2">
        <v>46196</v>
      </c>
      <c r="B8" s="2">
        <v>1</v>
      </c>
      <c r="C8" s="2" t="s">
        <v>142</v>
      </c>
      <c r="D8" s="2" t="s">
        <v>36</v>
      </c>
      <c r="E8" s="2"/>
      <c r="F8" s="2">
        <v>0</v>
      </c>
      <c r="G8" s="2" t="s">
        <v>40</v>
      </c>
      <c r="H8" s="2"/>
      <c r="I8" s="2"/>
      <c r="J8" s="2"/>
      <c r="K8" s="2">
        <f t="shared" si="0"/>
        <v>0</v>
      </c>
    </row>
    <row r="9" spans="1:11">
      <c r="A9" s="2">
        <v>46197</v>
      </c>
      <c r="B9" s="2">
        <v>2</v>
      </c>
      <c r="C9" s="2" t="s">
        <v>136</v>
      </c>
      <c r="D9" s="2" t="s">
        <v>42</v>
      </c>
      <c r="E9" s="2"/>
      <c r="F9" s="2">
        <v>0</v>
      </c>
      <c r="G9" s="2" t="s">
        <v>40</v>
      </c>
      <c r="H9" s="2"/>
      <c r="I9" s="2"/>
      <c r="J9" s="2"/>
      <c r="K9" s="2">
        <f t="shared" si="0"/>
        <v>0</v>
      </c>
    </row>
    <row r="10" spans="1:11">
      <c r="A10" s="2">
        <v>46198</v>
      </c>
      <c r="B10" s="2">
        <v>2</v>
      </c>
      <c r="C10" s="2" t="s">
        <v>137</v>
      </c>
      <c r="D10" s="2" t="s">
        <v>42</v>
      </c>
      <c r="E10" s="2"/>
      <c r="F10" s="2">
        <v>0</v>
      </c>
      <c r="G10" s="2" t="s">
        <v>40</v>
      </c>
      <c r="H10" s="2"/>
      <c r="I10" s="2"/>
      <c r="J10" s="2"/>
      <c r="K10" s="2">
        <f t="shared" si="0"/>
        <v>0</v>
      </c>
    </row>
    <row r="11" spans="1:11">
      <c r="A11" s="2">
        <v>46199</v>
      </c>
      <c r="B11" s="2">
        <v>2</v>
      </c>
      <c r="C11" s="2" t="s">
        <v>138</v>
      </c>
      <c r="D11" s="2" t="s">
        <v>42</v>
      </c>
      <c r="E11" s="2"/>
      <c r="F11" s="2">
        <v>0</v>
      </c>
      <c r="G11" s="2" t="s">
        <v>40</v>
      </c>
      <c r="H11" s="2"/>
      <c r="I11" s="2"/>
      <c r="J11" s="2"/>
      <c r="K11" s="2">
        <f t="shared" si="0"/>
        <v>0</v>
      </c>
    </row>
    <row r="12" spans="1:11">
      <c r="A12" s="2">
        <v>46200</v>
      </c>
      <c r="B12" s="2">
        <v>2</v>
      </c>
      <c r="C12" s="2" t="s">
        <v>139</v>
      </c>
      <c r="D12" s="2" t="s">
        <v>42</v>
      </c>
      <c r="E12" s="2"/>
      <c r="F12" s="2">
        <v>0</v>
      </c>
      <c r="G12" s="2" t="s">
        <v>40</v>
      </c>
      <c r="H12" s="2"/>
      <c r="I12" s="2"/>
      <c r="J12" s="2"/>
      <c r="K12" s="2">
        <f t="shared" si="0"/>
        <v>0</v>
      </c>
    </row>
    <row r="13" spans="1:11">
      <c r="A13" s="2">
        <v>46201</v>
      </c>
      <c r="B13" s="2">
        <v>2</v>
      </c>
      <c r="C13" s="2" t="s">
        <v>140</v>
      </c>
      <c r="D13" s="2" t="s">
        <v>42</v>
      </c>
      <c r="E13" s="2"/>
      <c r="F13" s="2">
        <v>0</v>
      </c>
      <c r="G13" s="2" t="s">
        <v>40</v>
      </c>
      <c r="H13" s="2"/>
      <c r="I13" s="2"/>
      <c r="J13" s="2"/>
      <c r="K13" s="2">
        <f t="shared" si="0"/>
        <v>0</v>
      </c>
    </row>
    <row r="14" spans="1:11">
      <c r="A14" s="2">
        <v>46202</v>
      </c>
      <c r="B14" s="2">
        <v>2</v>
      </c>
      <c r="C14" s="2" t="s">
        <v>141</v>
      </c>
      <c r="D14" s="2" t="s">
        <v>42</v>
      </c>
      <c r="E14" s="2"/>
      <c r="F14" s="2">
        <v>0</v>
      </c>
      <c r="G14" s="2" t="s">
        <v>40</v>
      </c>
      <c r="H14" s="2"/>
      <c r="I14" s="2"/>
      <c r="J14" s="2"/>
      <c r="K14" s="2">
        <f t="shared" si="0"/>
        <v>0</v>
      </c>
    </row>
    <row r="15" spans="1:11">
      <c r="A15" s="2">
        <v>46203</v>
      </c>
      <c r="B15" s="2">
        <v>2</v>
      </c>
      <c r="C15" s="2" t="s">
        <v>142</v>
      </c>
      <c r="D15" s="2" t="s">
        <v>42</v>
      </c>
      <c r="E15" s="2"/>
      <c r="F15" s="2">
        <v>0</v>
      </c>
      <c r="G15" s="2" t="s">
        <v>40</v>
      </c>
      <c r="H15" s="2"/>
      <c r="I15" s="2"/>
      <c r="J15" s="2"/>
      <c r="K15" s="2">
        <f t="shared" si="0"/>
        <v>0</v>
      </c>
    </row>
    <row r="16" spans="1:11">
      <c r="A16" s="2">
        <v>46204</v>
      </c>
      <c r="B16" s="2">
        <v>3</v>
      </c>
      <c r="C16" s="2" t="s">
        <v>136</v>
      </c>
      <c r="D16" s="2" t="s">
        <v>45</v>
      </c>
      <c r="E16" s="2"/>
      <c r="F16" s="2">
        <v>0</v>
      </c>
      <c r="G16" s="2" t="s">
        <v>40</v>
      </c>
      <c r="H16" s="2"/>
      <c r="I16" s="2"/>
      <c r="J16" s="2"/>
      <c r="K16" s="2">
        <f t="shared" si="0"/>
        <v>0</v>
      </c>
    </row>
    <row r="17" spans="1:11">
      <c r="A17" s="2">
        <v>46205</v>
      </c>
      <c r="B17" s="2">
        <v>3</v>
      </c>
      <c r="C17" s="2" t="s">
        <v>137</v>
      </c>
      <c r="D17" s="2" t="s">
        <v>45</v>
      </c>
      <c r="E17" s="2"/>
      <c r="F17" s="2">
        <v>0</v>
      </c>
      <c r="G17" s="2" t="s">
        <v>40</v>
      </c>
      <c r="H17" s="2"/>
      <c r="I17" s="2"/>
      <c r="J17" s="2"/>
      <c r="K17" s="2">
        <f t="shared" si="0"/>
        <v>0</v>
      </c>
    </row>
    <row r="18" spans="1:11">
      <c r="A18" s="2">
        <v>46206</v>
      </c>
      <c r="B18" s="2">
        <v>3</v>
      </c>
      <c r="C18" s="2" t="s">
        <v>138</v>
      </c>
      <c r="D18" s="2" t="s">
        <v>45</v>
      </c>
      <c r="E18" s="2"/>
      <c r="F18" s="2">
        <v>0</v>
      </c>
      <c r="G18" s="2" t="s">
        <v>40</v>
      </c>
      <c r="H18" s="2"/>
      <c r="I18" s="2"/>
      <c r="J18" s="2"/>
      <c r="K18" s="2">
        <f t="shared" si="0"/>
        <v>0</v>
      </c>
    </row>
    <row r="19" spans="1:11">
      <c r="A19" s="2">
        <v>46207</v>
      </c>
      <c r="B19" s="2">
        <v>3</v>
      </c>
      <c r="C19" s="2" t="s">
        <v>139</v>
      </c>
      <c r="D19" s="2" t="s">
        <v>45</v>
      </c>
      <c r="E19" s="2"/>
      <c r="F19" s="2">
        <v>0</v>
      </c>
      <c r="G19" s="2" t="s">
        <v>40</v>
      </c>
      <c r="H19" s="2"/>
      <c r="I19" s="2"/>
      <c r="J19" s="2"/>
      <c r="K19" s="2">
        <f t="shared" si="0"/>
        <v>0</v>
      </c>
    </row>
    <row r="20" spans="1:11">
      <c r="A20" s="2">
        <v>46208</v>
      </c>
      <c r="B20" s="2">
        <v>3</v>
      </c>
      <c r="C20" s="2" t="s">
        <v>140</v>
      </c>
      <c r="D20" s="2" t="s">
        <v>45</v>
      </c>
      <c r="E20" s="2"/>
      <c r="F20" s="2">
        <v>0</v>
      </c>
      <c r="G20" s="2" t="s">
        <v>40</v>
      </c>
      <c r="H20" s="2"/>
      <c r="I20" s="2"/>
      <c r="J20" s="2"/>
      <c r="K20" s="2">
        <f t="shared" si="0"/>
        <v>0</v>
      </c>
    </row>
    <row r="21" spans="1:11">
      <c r="A21" s="2">
        <v>46209</v>
      </c>
      <c r="B21" s="2">
        <v>3</v>
      </c>
      <c r="C21" s="2" t="s">
        <v>141</v>
      </c>
      <c r="D21" s="2" t="s">
        <v>45</v>
      </c>
      <c r="E21" s="2"/>
      <c r="F21" s="2">
        <v>0</v>
      </c>
      <c r="G21" s="2" t="s">
        <v>40</v>
      </c>
      <c r="H21" s="2"/>
      <c r="I21" s="2"/>
      <c r="J21" s="2"/>
      <c r="K21" s="2">
        <f t="shared" si="0"/>
        <v>0</v>
      </c>
    </row>
    <row r="22" spans="1:11">
      <c r="A22" s="2">
        <v>46210</v>
      </c>
      <c r="B22" s="2">
        <v>3</v>
      </c>
      <c r="C22" s="2" t="s">
        <v>142</v>
      </c>
      <c r="D22" s="2" t="s">
        <v>45</v>
      </c>
      <c r="E22" s="2"/>
      <c r="F22" s="2">
        <v>0</v>
      </c>
      <c r="G22" s="2" t="s">
        <v>40</v>
      </c>
      <c r="H22" s="2"/>
      <c r="I22" s="2"/>
      <c r="J22" s="2"/>
      <c r="K22" s="2">
        <f t="shared" si="0"/>
        <v>0</v>
      </c>
    </row>
    <row r="23" spans="1:11">
      <c r="A23" s="2">
        <v>46211</v>
      </c>
      <c r="B23" s="2">
        <v>4</v>
      </c>
      <c r="C23" s="2" t="s">
        <v>136</v>
      </c>
      <c r="D23" s="2" t="s">
        <v>49</v>
      </c>
      <c r="E23" s="2"/>
      <c r="F23" s="2">
        <v>0</v>
      </c>
      <c r="G23" s="2" t="s">
        <v>40</v>
      </c>
      <c r="H23" s="2"/>
      <c r="I23" s="2"/>
      <c r="J23" s="2"/>
      <c r="K23" s="2">
        <f t="shared" si="0"/>
        <v>0</v>
      </c>
    </row>
    <row r="24" spans="1:11">
      <c r="A24" s="2">
        <v>46212</v>
      </c>
      <c r="B24" s="2">
        <v>4</v>
      </c>
      <c r="C24" s="2" t="s">
        <v>137</v>
      </c>
      <c r="D24" s="2" t="s">
        <v>49</v>
      </c>
      <c r="E24" s="2"/>
      <c r="F24" s="2">
        <v>0</v>
      </c>
      <c r="G24" s="2" t="s">
        <v>40</v>
      </c>
      <c r="H24" s="2"/>
      <c r="I24" s="2"/>
      <c r="J24" s="2"/>
      <c r="K24" s="2">
        <f t="shared" si="0"/>
        <v>0</v>
      </c>
    </row>
    <row r="25" spans="1:11">
      <c r="A25" s="2">
        <v>46213</v>
      </c>
      <c r="B25" s="2">
        <v>4</v>
      </c>
      <c r="C25" s="2" t="s">
        <v>138</v>
      </c>
      <c r="D25" s="2" t="s">
        <v>49</v>
      </c>
      <c r="E25" s="2"/>
      <c r="F25" s="2">
        <v>0</v>
      </c>
      <c r="G25" s="2" t="s">
        <v>40</v>
      </c>
      <c r="H25" s="2"/>
      <c r="I25" s="2"/>
      <c r="J25" s="2"/>
      <c r="K25" s="2">
        <f t="shared" si="0"/>
        <v>0</v>
      </c>
    </row>
    <row r="26" spans="1:11">
      <c r="A26" s="2">
        <v>46214</v>
      </c>
      <c r="B26" s="2">
        <v>4</v>
      </c>
      <c r="C26" s="2" t="s">
        <v>139</v>
      </c>
      <c r="D26" s="2" t="s">
        <v>49</v>
      </c>
      <c r="E26" s="2"/>
      <c r="F26" s="2">
        <v>0</v>
      </c>
      <c r="G26" s="2" t="s">
        <v>40</v>
      </c>
      <c r="H26" s="2"/>
      <c r="I26" s="2"/>
      <c r="J26" s="2"/>
      <c r="K26" s="2">
        <f t="shared" si="0"/>
        <v>0</v>
      </c>
    </row>
    <row r="27" spans="1:11">
      <c r="A27" s="2">
        <v>46215</v>
      </c>
      <c r="B27" s="2">
        <v>4</v>
      </c>
      <c r="C27" s="2" t="s">
        <v>140</v>
      </c>
      <c r="D27" s="2" t="s">
        <v>49</v>
      </c>
      <c r="E27" s="2"/>
      <c r="F27" s="2">
        <v>0</v>
      </c>
      <c r="G27" s="2" t="s">
        <v>40</v>
      </c>
      <c r="H27" s="2"/>
      <c r="I27" s="2"/>
      <c r="J27" s="2"/>
      <c r="K27" s="2">
        <f t="shared" si="0"/>
        <v>0</v>
      </c>
    </row>
    <row r="28" spans="1:11">
      <c r="A28" s="2">
        <v>46216</v>
      </c>
      <c r="B28" s="2">
        <v>4</v>
      </c>
      <c r="C28" s="2" t="s">
        <v>141</v>
      </c>
      <c r="D28" s="2" t="s">
        <v>49</v>
      </c>
      <c r="E28" s="2"/>
      <c r="F28" s="2">
        <v>0</v>
      </c>
      <c r="G28" s="2" t="s">
        <v>40</v>
      </c>
      <c r="H28" s="2"/>
      <c r="I28" s="2"/>
      <c r="J28" s="2"/>
      <c r="K28" s="2">
        <f t="shared" si="0"/>
        <v>0</v>
      </c>
    </row>
    <row r="29" spans="1:11">
      <c r="A29" s="2">
        <v>46217</v>
      </c>
      <c r="B29" s="2">
        <v>4</v>
      </c>
      <c r="C29" s="2" t="s">
        <v>142</v>
      </c>
      <c r="D29" s="2" t="s">
        <v>49</v>
      </c>
      <c r="E29" s="2"/>
      <c r="F29" s="2">
        <v>0</v>
      </c>
      <c r="G29" s="2" t="s">
        <v>40</v>
      </c>
      <c r="H29" s="2"/>
      <c r="I29" s="2"/>
      <c r="J29" s="2"/>
      <c r="K29" s="2">
        <f t="shared" si="0"/>
        <v>0</v>
      </c>
    </row>
    <row r="30" spans="1:11">
      <c r="A30" s="2">
        <v>46218</v>
      </c>
      <c r="B30" s="2">
        <v>5</v>
      </c>
      <c r="C30" s="2" t="s">
        <v>136</v>
      </c>
      <c r="D30" s="2" t="s">
        <v>53</v>
      </c>
      <c r="E30" s="2"/>
      <c r="F30" s="2">
        <v>0</v>
      </c>
      <c r="G30" s="2" t="s">
        <v>40</v>
      </c>
      <c r="H30" s="2"/>
      <c r="I30" s="2"/>
      <c r="J30" s="2"/>
      <c r="K30" s="2">
        <f t="shared" si="0"/>
        <v>0</v>
      </c>
    </row>
    <row r="31" spans="1:11">
      <c r="A31" s="2">
        <v>46219</v>
      </c>
      <c r="B31" s="2">
        <v>5</v>
      </c>
      <c r="C31" s="2" t="s">
        <v>137</v>
      </c>
      <c r="D31" s="2" t="s">
        <v>53</v>
      </c>
      <c r="E31" s="2"/>
      <c r="F31" s="2">
        <v>0</v>
      </c>
      <c r="G31" s="2" t="s">
        <v>40</v>
      </c>
      <c r="H31" s="2"/>
      <c r="I31" s="2"/>
      <c r="J31" s="2"/>
      <c r="K31" s="2">
        <f t="shared" si="0"/>
        <v>0</v>
      </c>
    </row>
    <row r="32" spans="1:11">
      <c r="A32" s="2">
        <v>46220</v>
      </c>
      <c r="B32" s="2">
        <v>5</v>
      </c>
      <c r="C32" s="2" t="s">
        <v>138</v>
      </c>
      <c r="D32" s="2" t="s">
        <v>53</v>
      </c>
      <c r="E32" s="2"/>
      <c r="F32" s="2">
        <v>0</v>
      </c>
      <c r="G32" s="2" t="s">
        <v>40</v>
      </c>
      <c r="H32" s="2"/>
      <c r="I32" s="2"/>
      <c r="J32" s="2"/>
      <c r="K32" s="2">
        <f t="shared" si="0"/>
        <v>0</v>
      </c>
    </row>
    <row r="33" spans="1:11">
      <c r="A33" s="2">
        <v>46221</v>
      </c>
      <c r="B33" s="2">
        <v>5</v>
      </c>
      <c r="C33" s="2" t="s">
        <v>139</v>
      </c>
      <c r="D33" s="2" t="s">
        <v>53</v>
      </c>
      <c r="E33" s="2"/>
      <c r="F33" s="2">
        <v>0</v>
      </c>
      <c r="G33" s="2" t="s">
        <v>40</v>
      </c>
      <c r="H33" s="2"/>
      <c r="I33" s="2"/>
      <c r="J33" s="2"/>
      <c r="K33" s="2">
        <f t="shared" si="0"/>
        <v>0</v>
      </c>
    </row>
    <row r="34" spans="1:11">
      <c r="A34" s="2">
        <v>46222</v>
      </c>
      <c r="B34" s="2">
        <v>5</v>
      </c>
      <c r="C34" s="2" t="s">
        <v>140</v>
      </c>
      <c r="D34" s="2" t="s">
        <v>53</v>
      </c>
      <c r="E34" s="2"/>
      <c r="F34" s="2">
        <v>0</v>
      </c>
      <c r="G34" s="2" t="s">
        <v>40</v>
      </c>
      <c r="H34" s="2"/>
      <c r="I34" s="2"/>
      <c r="J34" s="2"/>
      <c r="K34" s="2">
        <f t="shared" ref="K34:K65" si="1">IF(G34="تم",3,IF(G34="قيد التنفيذ",2,IF(G34="محجوب",1,IF(G34="متوقف",0,0))))</f>
        <v>0</v>
      </c>
    </row>
    <row r="35" spans="1:11">
      <c r="A35" s="2">
        <v>46223</v>
      </c>
      <c r="B35" s="2">
        <v>5</v>
      </c>
      <c r="C35" s="2" t="s">
        <v>141</v>
      </c>
      <c r="D35" s="2" t="s">
        <v>53</v>
      </c>
      <c r="E35" s="2"/>
      <c r="F35" s="2">
        <v>0</v>
      </c>
      <c r="G35" s="2" t="s">
        <v>40</v>
      </c>
      <c r="H35" s="2"/>
      <c r="I35" s="2"/>
      <c r="J35" s="2"/>
      <c r="K35" s="2">
        <f t="shared" si="1"/>
        <v>0</v>
      </c>
    </row>
    <row r="36" spans="1:11">
      <c r="A36" s="2">
        <v>46224</v>
      </c>
      <c r="B36" s="2">
        <v>5</v>
      </c>
      <c r="C36" s="2" t="s">
        <v>142</v>
      </c>
      <c r="D36" s="2" t="s">
        <v>53</v>
      </c>
      <c r="E36" s="2"/>
      <c r="F36" s="2">
        <v>0</v>
      </c>
      <c r="G36" s="2" t="s">
        <v>40</v>
      </c>
      <c r="H36" s="2"/>
      <c r="I36" s="2"/>
      <c r="J36" s="2"/>
      <c r="K36" s="2">
        <f t="shared" si="1"/>
        <v>0</v>
      </c>
    </row>
    <row r="37" spans="1:11">
      <c r="A37" s="2">
        <v>46225</v>
      </c>
      <c r="B37" s="2">
        <v>6</v>
      </c>
      <c r="C37" s="2" t="s">
        <v>136</v>
      </c>
      <c r="D37" s="2" t="s">
        <v>56</v>
      </c>
      <c r="E37" s="2"/>
      <c r="F37" s="2">
        <v>0</v>
      </c>
      <c r="G37" s="2" t="s">
        <v>40</v>
      </c>
      <c r="H37" s="2"/>
      <c r="I37" s="2"/>
      <c r="J37" s="2"/>
      <c r="K37" s="2">
        <f t="shared" si="1"/>
        <v>0</v>
      </c>
    </row>
    <row r="38" spans="1:11">
      <c r="A38" s="2">
        <v>46226</v>
      </c>
      <c r="B38" s="2">
        <v>6</v>
      </c>
      <c r="C38" s="2" t="s">
        <v>137</v>
      </c>
      <c r="D38" s="2" t="s">
        <v>56</v>
      </c>
      <c r="E38" s="2"/>
      <c r="F38" s="2">
        <v>0</v>
      </c>
      <c r="G38" s="2" t="s">
        <v>40</v>
      </c>
      <c r="H38" s="2"/>
      <c r="I38" s="2"/>
      <c r="J38" s="2"/>
      <c r="K38" s="2">
        <f t="shared" si="1"/>
        <v>0</v>
      </c>
    </row>
    <row r="39" spans="1:11">
      <c r="A39" s="2">
        <v>46227</v>
      </c>
      <c r="B39" s="2">
        <v>6</v>
      </c>
      <c r="C39" s="2" t="s">
        <v>138</v>
      </c>
      <c r="D39" s="2" t="s">
        <v>56</v>
      </c>
      <c r="E39" s="2"/>
      <c r="F39" s="2">
        <v>0</v>
      </c>
      <c r="G39" s="2" t="s">
        <v>40</v>
      </c>
      <c r="H39" s="2"/>
      <c r="I39" s="2"/>
      <c r="J39" s="2"/>
      <c r="K39" s="2">
        <f t="shared" si="1"/>
        <v>0</v>
      </c>
    </row>
    <row r="40" spans="1:11">
      <c r="A40" s="2">
        <v>46228</v>
      </c>
      <c r="B40" s="2">
        <v>6</v>
      </c>
      <c r="C40" s="2" t="s">
        <v>139</v>
      </c>
      <c r="D40" s="2" t="s">
        <v>56</v>
      </c>
      <c r="E40" s="2"/>
      <c r="F40" s="2">
        <v>0</v>
      </c>
      <c r="G40" s="2" t="s">
        <v>40</v>
      </c>
      <c r="H40" s="2"/>
      <c r="I40" s="2"/>
      <c r="J40" s="2"/>
      <c r="K40" s="2">
        <f t="shared" si="1"/>
        <v>0</v>
      </c>
    </row>
    <row r="41" spans="1:11">
      <c r="A41" s="2">
        <v>46229</v>
      </c>
      <c r="B41" s="2">
        <v>6</v>
      </c>
      <c r="C41" s="2" t="s">
        <v>140</v>
      </c>
      <c r="D41" s="2" t="s">
        <v>56</v>
      </c>
      <c r="E41" s="2"/>
      <c r="F41" s="2">
        <v>0</v>
      </c>
      <c r="G41" s="2" t="s">
        <v>40</v>
      </c>
      <c r="H41" s="2"/>
      <c r="I41" s="2"/>
      <c r="J41" s="2"/>
      <c r="K41" s="2">
        <f t="shared" si="1"/>
        <v>0</v>
      </c>
    </row>
    <row r="42" spans="1:11">
      <c r="A42" s="2">
        <v>46230</v>
      </c>
      <c r="B42" s="2">
        <v>6</v>
      </c>
      <c r="C42" s="2" t="s">
        <v>141</v>
      </c>
      <c r="D42" s="2" t="s">
        <v>56</v>
      </c>
      <c r="E42" s="2"/>
      <c r="F42" s="2">
        <v>0</v>
      </c>
      <c r="G42" s="2" t="s">
        <v>40</v>
      </c>
      <c r="H42" s="2"/>
      <c r="I42" s="2"/>
      <c r="J42" s="2"/>
      <c r="K42" s="2">
        <f t="shared" si="1"/>
        <v>0</v>
      </c>
    </row>
    <row r="43" spans="1:11">
      <c r="A43" s="2">
        <v>46231</v>
      </c>
      <c r="B43" s="2">
        <v>6</v>
      </c>
      <c r="C43" s="2" t="s">
        <v>142</v>
      </c>
      <c r="D43" s="2" t="s">
        <v>56</v>
      </c>
      <c r="E43" s="2"/>
      <c r="F43" s="2">
        <v>0</v>
      </c>
      <c r="G43" s="2" t="s">
        <v>40</v>
      </c>
      <c r="H43" s="2"/>
      <c r="I43" s="2"/>
      <c r="J43" s="2"/>
      <c r="K43" s="2">
        <f t="shared" si="1"/>
        <v>0</v>
      </c>
    </row>
    <row r="44" spans="1:11">
      <c r="A44" s="2">
        <v>46232</v>
      </c>
      <c r="B44" s="2">
        <v>7</v>
      </c>
      <c r="C44" s="2" t="s">
        <v>136</v>
      </c>
      <c r="D44" s="2" t="s">
        <v>60</v>
      </c>
      <c r="E44" s="2"/>
      <c r="F44" s="2">
        <v>0</v>
      </c>
      <c r="G44" s="2" t="s">
        <v>40</v>
      </c>
      <c r="H44" s="2"/>
      <c r="I44" s="2"/>
      <c r="J44" s="2"/>
      <c r="K44" s="2">
        <f t="shared" si="1"/>
        <v>0</v>
      </c>
    </row>
    <row r="45" spans="1:11">
      <c r="A45" s="2">
        <v>46233</v>
      </c>
      <c r="B45" s="2">
        <v>7</v>
      </c>
      <c r="C45" s="2" t="s">
        <v>137</v>
      </c>
      <c r="D45" s="2" t="s">
        <v>60</v>
      </c>
      <c r="E45" s="2"/>
      <c r="F45" s="2">
        <v>0</v>
      </c>
      <c r="G45" s="2" t="s">
        <v>40</v>
      </c>
      <c r="H45" s="2"/>
      <c r="I45" s="2"/>
      <c r="J45" s="2"/>
      <c r="K45" s="2">
        <f t="shared" si="1"/>
        <v>0</v>
      </c>
    </row>
    <row r="46" spans="1:11">
      <c r="A46" s="2">
        <v>46234</v>
      </c>
      <c r="B46" s="2">
        <v>7</v>
      </c>
      <c r="C46" s="2" t="s">
        <v>138</v>
      </c>
      <c r="D46" s="2" t="s">
        <v>60</v>
      </c>
      <c r="E46" s="2"/>
      <c r="F46" s="2">
        <v>0</v>
      </c>
      <c r="G46" s="2" t="s">
        <v>40</v>
      </c>
      <c r="H46" s="2"/>
      <c r="I46" s="2"/>
      <c r="J46" s="2"/>
      <c r="K46" s="2">
        <f t="shared" si="1"/>
        <v>0</v>
      </c>
    </row>
    <row r="47" spans="1:11">
      <c r="A47" s="2">
        <v>46235</v>
      </c>
      <c r="B47" s="2">
        <v>7</v>
      </c>
      <c r="C47" s="2" t="s">
        <v>139</v>
      </c>
      <c r="D47" s="2" t="s">
        <v>60</v>
      </c>
      <c r="E47" s="2"/>
      <c r="F47" s="2">
        <v>0</v>
      </c>
      <c r="G47" s="2" t="s">
        <v>40</v>
      </c>
      <c r="H47" s="2"/>
      <c r="I47" s="2"/>
      <c r="J47" s="2"/>
      <c r="K47" s="2">
        <f t="shared" si="1"/>
        <v>0</v>
      </c>
    </row>
    <row r="48" spans="1:11">
      <c r="A48" s="2">
        <v>46236</v>
      </c>
      <c r="B48" s="2">
        <v>7</v>
      </c>
      <c r="C48" s="2" t="s">
        <v>140</v>
      </c>
      <c r="D48" s="2" t="s">
        <v>60</v>
      </c>
      <c r="E48" s="2"/>
      <c r="F48" s="2">
        <v>0</v>
      </c>
      <c r="G48" s="2" t="s">
        <v>40</v>
      </c>
      <c r="H48" s="2"/>
      <c r="I48" s="2"/>
      <c r="J48" s="2"/>
      <c r="K48" s="2">
        <f t="shared" si="1"/>
        <v>0</v>
      </c>
    </row>
    <row r="49" spans="1:11">
      <c r="A49" s="2">
        <v>46237</v>
      </c>
      <c r="B49" s="2">
        <v>7</v>
      </c>
      <c r="C49" s="2" t="s">
        <v>141</v>
      </c>
      <c r="D49" s="2" t="s">
        <v>60</v>
      </c>
      <c r="E49" s="2"/>
      <c r="F49" s="2">
        <v>0</v>
      </c>
      <c r="G49" s="2" t="s">
        <v>40</v>
      </c>
      <c r="H49" s="2"/>
      <c r="I49" s="2"/>
      <c r="J49" s="2"/>
      <c r="K49" s="2">
        <f t="shared" si="1"/>
        <v>0</v>
      </c>
    </row>
    <row r="50" spans="1:11">
      <c r="A50" s="2">
        <v>46238</v>
      </c>
      <c r="B50" s="2">
        <v>7</v>
      </c>
      <c r="C50" s="2" t="s">
        <v>142</v>
      </c>
      <c r="D50" s="2" t="s">
        <v>60</v>
      </c>
      <c r="E50" s="2"/>
      <c r="F50" s="2">
        <v>0</v>
      </c>
      <c r="G50" s="2" t="s">
        <v>40</v>
      </c>
      <c r="H50" s="2"/>
      <c r="I50" s="2"/>
      <c r="J50" s="2"/>
      <c r="K50" s="2">
        <f t="shared" si="1"/>
        <v>0</v>
      </c>
    </row>
    <row r="51" spans="1:11">
      <c r="A51" s="2">
        <v>46239</v>
      </c>
      <c r="B51" s="2">
        <v>8</v>
      </c>
      <c r="C51" s="2" t="s">
        <v>136</v>
      </c>
      <c r="D51" s="2" t="s">
        <v>63</v>
      </c>
      <c r="E51" s="2"/>
      <c r="F51" s="2">
        <v>0</v>
      </c>
      <c r="G51" s="2" t="s">
        <v>40</v>
      </c>
      <c r="H51" s="2"/>
      <c r="I51" s="2"/>
      <c r="J51" s="2"/>
      <c r="K51" s="2">
        <f t="shared" si="1"/>
        <v>0</v>
      </c>
    </row>
    <row r="52" spans="1:11">
      <c r="A52" s="2">
        <v>46240</v>
      </c>
      <c r="B52" s="2">
        <v>8</v>
      </c>
      <c r="C52" s="2" t="s">
        <v>137</v>
      </c>
      <c r="D52" s="2" t="s">
        <v>63</v>
      </c>
      <c r="E52" s="2"/>
      <c r="F52" s="2">
        <v>0</v>
      </c>
      <c r="G52" s="2" t="s">
        <v>40</v>
      </c>
      <c r="H52" s="2"/>
      <c r="I52" s="2"/>
      <c r="J52" s="2"/>
      <c r="K52" s="2">
        <f t="shared" si="1"/>
        <v>0</v>
      </c>
    </row>
    <row r="53" spans="1:11">
      <c r="A53" s="2">
        <v>46241</v>
      </c>
      <c r="B53" s="2">
        <v>8</v>
      </c>
      <c r="C53" s="2" t="s">
        <v>138</v>
      </c>
      <c r="D53" s="2" t="s">
        <v>63</v>
      </c>
      <c r="E53" s="2"/>
      <c r="F53" s="2">
        <v>0</v>
      </c>
      <c r="G53" s="2" t="s">
        <v>40</v>
      </c>
      <c r="H53" s="2"/>
      <c r="I53" s="2"/>
      <c r="J53" s="2"/>
      <c r="K53" s="2">
        <f t="shared" si="1"/>
        <v>0</v>
      </c>
    </row>
    <row r="54" spans="1:11">
      <c r="A54" s="2">
        <v>46242</v>
      </c>
      <c r="B54" s="2">
        <v>8</v>
      </c>
      <c r="C54" s="2" t="s">
        <v>139</v>
      </c>
      <c r="D54" s="2" t="s">
        <v>63</v>
      </c>
      <c r="E54" s="2"/>
      <c r="F54" s="2">
        <v>0</v>
      </c>
      <c r="G54" s="2" t="s">
        <v>40</v>
      </c>
      <c r="H54" s="2"/>
      <c r="I54" s="2"/>
      <c r="J54" s="2"/>
      <c r="K54" s="2">
        <f t="shared" si="1"/>
        <v>0</v>
      </c>
    </row>
    <row r="55" spans="1:11">
      <c r="A55" s="2">
        <v>46243</v>
      </c>
      <c r="B55" s="2">
        <v>8</v>
      </c>
      <c r="C55" s="2" t="s">
        <v>140</v>
      </c>
      <c r="D55" s="2" t="s">
        <v>63</v>
      </c>
      <c r="E55" s="2"/>
      <c r="F55" s="2">
        <v>0</v>
      </c>
      <c r="G55" s="2" t="s">
        <v>40</v>
      </c>
      <c r="H55" s="2"/>
      <c r="I55" s="2"/>
      <c r="J55" s="2"/>
      <c r="K55" s="2">
        <f t="shared" si="1"/>
        <v>0</v>
      </c>
    </row>
    <row r="56" spans="1:11">
      <c r="A56" s="2">
        <v>46244</v>
      </c>
      <c r="B56" s="2">
        <v>8</v>
      </c>
      <c r="C56" s="2" t="s">
        <v>141</v>
      </c>
      <c r="D56" s="2" t="s">
        <v>63</v>
      </c>
      <c r="E56" s="2"/>
      <c r="F56" s="2">
        <v>0</v>
      </c>
      <c r="G56" s="2" t="s">
        <v>40</v>
      </c>
      <c r="H56" s="2"/>
      <c r="I56" s="2"/>
      <c r="J56" s="2"/>
      <c r="K56" s="2">
        <f t="shared" si="1"/>
        <v>0</v>
      </c>
    </row>
    <row r="57" spans="1:11">
      <c r="A57" s="2">
        <v>46245</v>
      </c>
      <c r="B57" s="2">
        <v>8</v>
      </c>
      <c r="C57" s="2" t="s">
        <v>142</v>
      </c>
      <c r="D57" s="2" t="s">
        <v>63</v>
      </c>
      <c r="E57" s="2"/>
      <c r="F57" s="2">
        <v>0</v>
      </c>
      <c r="G57" s="2" t="s">
        <v>40</v>
      </c>
      <c r="H57" s="2"/>
      <c r="I57" s="2"/>
      <c r="J57" s="2"/>
      <c r="K57" s="2">
        <f t="shared" si="1"/>
        <v>0</v>
      </c>
    </row>
    <row r="58" spans="1:11">
      <c r="A58" s="2">
        <v>46246</v>
      </c>
      <c r="B58" s="2">
        <v>9</v>
      </c>
      <c r="C58" s="2" t="s">
        <v>136</v>
      </c>
      <c r="D58" s="2" t="s">
        <v>67</v>
      </c>
      <c r="E58" s="2"/>
      <c r="F58" s="2">
        <v>0</v>
      </c>
      <c r="G58" s="2" t="s">
        <v>40</v>
      </c>
      <c r="H58" s="2"/>
      <c r="I58" s="2"/>
      <c r="J58" s="2"/>
      <c r="K58" s="2">
        <f t="shared" si="1"/>
        <v>0</v>
      </c>
    </row>
    <row r="59" spans="1:11">
      <c r="A59" s="2">
        <v>46247</v>
      </c>
      <c r="B59" s="2">
        <v>9</v>
      </c>
      <c r="C59" s="2" t="s">
        <v>137</v>
      </c>
      <c r="D59" s="2" t="s">
        <v>67</v>
      </c>
      <c r="E59" s="2"/>
      <c r="F59" s="2">
        <v>0</v>
      </c>
      <c r="G59" s="2" t="s">
        <v>40</v>
      </c>
      <c r="H59" s="2"/>
      <c r="I59" s="2"/>
      <c r="J59" s="2"/>
      <c r="K59" s="2">
        <f t="shared" si="1"/>
        <v>0</v>
      </c>
    </row>
    <row r="60" spans="1:11">
      <c r="A60" s="2">
        <v>46248</v>
      </c>
      <c r="B60" s="2">
        <v>9</v>
      </c>
      <c r="C60" s="2" t="s">
        <v>138</v>
      </c>
      <c r="D60" s="2" t="s">
        <v>67</v>
      </c>
      <c r="E60" s="2"/>
      <c r="F60" s="2">
        <v>0</v>
      </c>
      <c r="G60" s="2" t="s">
        <v>40</v>
      </c>
      <c r="H60" s="2"/>
      <c r="I60" s="2"/>
      <c r="J60" s="2"/>
      <c r="K60" s="2">
        <f t="shared" si="1"/>
        <v>0</v>
      </c>
    </row>
    <row r="61" spans="1:11">
      <c r="A61" s="2">
        <v>46249</v>
      </c>
      <c r="B61" s="2">
        <v>9</v>
      </c>
      <c r="C61" s="2" t="s">
        <v>139</v>
      </c>
      <c r="D61" s="2" t="s">
        <v>67</v>
      </c>
      <c r="E61" s="2"/>
      <c r="F61" s="2">
        <v>0</v>
      </c>
      <c r="G61" s="2" t="s">
        <v>40</v>
      </c>
      <c r="H61" s="2"/>
      <c r="I61" s="2"/>
      <c r="J61" s="2"/>
      <c r="K61" s="2">
        <f t="shared" si="1"/>
        <v>0</v>
      </c>
    </row>
    <row r="62" spans="1:11">
      <c r="A62" s="2">
        <v>46250</v>
      </c>
      <c r="B62" s="2">
        <v>9</v>
      </c>
      <c r="C62" s="2" t="s">
        <v>140</v>
      </c>
      <c r="D62" s="2" t="s">
        <v>67</v>
      </c>
      <c r="E62" s="2"/>
      <c r="F62" s="2">
        <v>0</v>
      </c>
      <c r="G62" s="2" t="s">
        <v>40</v>
      </c>
      <c r="H62" s="2"/>
      <c r="I62" s="2"/>
      <c r="J62" s="2"/>
      <c r="K62" s="2">
        <f t="shared" si="1"/>
        <v>0</v>
      </c>
    </row>
    <row r="63" spans="1:11">
      <c r="A63" s="2">
        <v>46251</v>
      </c>
      <c r="B63" s="2">
        <v>9</v>
      </c>
      <c r="C63" s="2" t="s">
        <v>141</v>
      </c>
      <c r="D63" s="2" t="s">
        <v>67</v>
      </c>
      <c r="E63" s="2"/>
      <c r="F63" s="2">
        <v>0</v>
      </c>
      <c r="G63" s="2" t="s">
        <v>40</v>
      </c>
      <c r="H63" s="2"/>
      <c r="I63" s="2"/>
      <c r="J63" s="2"/>
      <c r="K63" s="2">
        <f t="shared" si="1"/>
        <v>0</v>
      </c>
    </row>
    <row r="64" spans="1:11">
      <c r="A64" s="2">
        <v>46252</v>
      </c>
      <c r="B64" s="2">
        <v>9</v>
      </c>
      <c r="C64" s="2" t="s">
        <v>142</v>
      </c>
      <c r="D64" s="2" t="s">
        <v>67</v>
      </c>
      <c r="E64" s="2"/>
      <c r="F64" s="2">
        <v>0</v>
      </c>
      <c r="G64" s="2" t="s">
        <v>40</v>
      </c>
      <c r="H64" s="2"/>
      <c r="I64" s="2"/>
      <c r="J64" s="2"/>
      <c r="K64" s="2">
        <f t="shared" si="1"/>
        <v>0</v>
      </c>
    </row>
    <row r="65" spans="1:11">
      <c r="A65" s="2">
        <v>46253</v>
      </c>
      <c r="B65" s="2">
        <v>10</v>
      </c>
      <c r="C65" s="2" t="s">
        <v>136</v>
      </c>
      <c r="D65" s="2" t="s">
        <v>71</v>
      </c>
      <c r="E65" s="2"/>
      <c r="F65" s="2">
        <v>0</v>
      </c>
      <c r="G65" s="2" t="s">
        <v>40</v>
      </c>
      <c r="H65" s="2"/>
      <c r="I65" s="2"/>
      <c r="J65" s="2"/>
      <c r="K65" s="2">
        <f t="shared" si="1"/>
        <v>0</v>
      </c>
    </row>
    <row r="66" spans="1:11">
      <c r="A66" s="2">
        <v>46254</v>
      </c>
      <c r="B66" s="2">
        <v>10</v>
      </c>
      <c r="C66" s="2" t="s">
        <v>137</v>
      </c>
      <c r="D66" s="2" t="s">
        <v>71</v>
      </c>
      <c r="E66" s="2"/>
      <c r="F66" s="2">
        <v>0</v>
      </c>
      <c r="G66" s="2" t="s">
        <v>40</v>
      </c>
      <c r="H66" s="2"/>
      <c r="I66" s="2"/>
      <c r="J66" s="2"/>
      <c r="K66" s="2">
        <f t="shared" ref="K66:K97" si="2">IF(G66="تم",3,IF(G66="قيد التنفيذ",2,IF(G66="محجوب",1,IF(G66="متوقف",0,0))))</f>
        <v>0</v>
      </c>
    </row>
    <row r="67" spans="1:11">
      <c r="A67" s="2">
        <v>46255</v>
      </c>
      <c r="B67" s="2">
        <v>10</v>
      </c>
      <c r="C67" s="2" t="s">
        <v>138</v>
      </c>
      <c r="D67" s="2" t="s">
        <v>71</v>
      </c>
      <c r="E67" s="2"/>
      <c r="F67" s="2">
        <v>0</v>
      </c>
      <c r="G67" s="2" t="s">
        <v>40</v>
      </c>
      <c r="H67" s="2"/>
      <c r="I67" s="2"/>
      <c r="J67" s="2"/>
      <c r="K67" s="2">
        <f t="shared" si="2"/>
        <v>0</v>
      </c>
    </row>
    <row r="68" spans="1:11">
      <c r="A68" s="2">
        <v>46256</v>
      </c>
      <c r="B68" s="2">
        <v>10</v>
      </c>
      <c r="C68" s="2" t="s">
        <v>139</v>
      </c>
      <c r="D68" s="2" t="s">
        <v>71</v>
      </c>
      <c r="E68" s="2"/>
      <c r="F68" s="2">
        <v>0</v>
      </c>
      <c r="G68" s="2" t="s">
        <v>40</v>
      </c>
      <c r="H68" s="2"/>
      <c r="I68" s="2"/>
      <c r="J68" s="2"/>
      <c r="K68" s="2">
        <f t="shared" si="2"/>
        <v>0</v>
      </c>
    </row>
    <row r="69" spans="1:11">
      <c r="A69" s="2">
        <v>46257</v>
      </c>
      <c r="B69" s="2">
        <v>10</v>
      </c>
      <c r="C69" s="2" t="s">
        <v>140</v>
      </c>
      <c r="D69" s="2" t="s">
        <v>71</v>
      </c>
      <c r="E69" s="2"/>
      <c r="F69" s="2">
        <v>0</v>
      </c>
      <c r="G69" s="2" t="s">
        <v>40</v>
      </c>
      <c r="H69" s="2"/>
      <c r="I69" s="2"/>
      <c r="J69" s="2"/>
      <c r="K69" s="2">
        <f t="shared" si="2"/>
        <v>0</v>
      </c>
    </row>
    <row r="70" spans="1:11">
      <c r="A70" s="2">
        <v>46258</v>
      </c>
      <c r="B70" s="2">
        <v>10</v>
      </c>
      <c r="C70" s="2" t="s">
        <v>141</v>
      </c>
      <c r="D70" s="2" t="s">
        <v>71</v>
      </c>
      <c r="E70" s="2"/>
      <c r="F70" s="2">
        <v>0</v>
      </c>
      <c r="G70" s="2" t="s">
        <v>40</v>
      </c>
      <c r="H70" s="2"/>
      <c r="I70" s="2"/>
      <c r="J70" s="2"/>
      <c r="K70" s="2">
        <f t="shared" si="2"/>
        <v>0</v>
      </c>
    </row>
    <row r="71" spans="1:11">
      <c r="A71" s="2">
        <v>46259</v>
      </c>
      <c r="B71" s="2">
        <v>10</v>
      </c>
      <c r="C71" s="2" t="s">
        <v>142</v>
      </c>
      <c r="D71" s="2" t="s">
        <v>71</v>
      </c>
      <c r="E71" s="2"/>
      <c r="F71" s="2">
        <v>0</v>
      </c>
      <c r="G71" s="2" t="s">
        <v>40</v>
      </c>
      <c r="H71" s="2"/>
      <c r="I71" s="2"/>
      <c r="J71" s="2"/>
      <c r="K71" s="2">
        <f t="shared" si="2"/>
        <v>0</v>
      </c>
    </row>
    <row r="72" spans="1:11">
      <c r="A72" s="2">
        <v>46260</v>
      </c>
      <c r="B72" s="2">
        <v>11</v>
      </c>
      <c r="C72" s="2" t="s">
        <v>136</v>
      </c>
      <c r="D72" s="2" t="s">
        <v>75</v>
      </c>
      <c r="E72" s="2"/>
      <c r="F72" s="2">
        <v>0</v>
      </c>
      <c r="G72" s="2" t="s">
        <v>40</v>
      </c>
      <c r="H72" s="2"/>
      <c r="I72" s="2"/>
      <c r="J72" s="2"/>
      <c r="K72" s="2">
        <f t="shared" si="2"/>
        <v>0</v>
      </c>
    </row>
    <row r="73" spans="1:11">
      <c r="A73" s="2">
        <v>46261</v>
      </c>
      <c r="B73" s="2">
        <v>11</v>
      </c>
      <c r="C73" s="2" t="s">
        <v>137</v>
      </c>
      <c r="D73" s="2" t="s">
        <v>75</v>
      </c>
      <c r="E73" s="2"/>
      <c r="F73" s="2">
        <v>0</v>
      </c>
      <c r="G73" s="2" t="s">
        <v>40</v>
      </c>
      <c r="H73" s="2"/>
      <c r="I73" s="2"/>
      <c r="J73" s="2"/>
      <c r="K73" s="2">
        <f t="shared" si="2"/>
        <v>0</v>
      </c>
    </row>
    <row r="74" spans="1:11">
      <c r="A74" s="2">
        <v>46262</v>
      </c>
      <c r="B74" s="2">
        <v>11</v>
      </c>
      <c r="C74" s="2" t="s">
        <v>138</v>
      </c>
      <c r="D74" s="2" t="s">
        <v>75</v>
      </c>
      <c r="E74" s="2"/>
      <c r="F74" s="2">
        <v>0</v>
      </c>
      <c r="G74" s="2" t="s">
        <v>40</v>
      </c>
      <c r="H74" s="2"/>
      <c r="I74" s="2"/>
      <c r="J74" s="2"/>
      <c r="K74" s="2">
        <f t="shared" si="2"/>
        <v>0</v>
      </c>
    </row>
    <row r="75" spans="1:11">
      <c r="A75" s="2">
        <v>46263</v>
      </c>
      <c r="B75" s="2">
        <v>11</v>
      </c>
      <c r="C75" s="2" t="s">
        <v>139</v>
      </c>
      <c r="D75" s="2" t="s">
        <v>75</v>
      </c>
      <c r="E75" s="2"/>
      <c r="F75" s="2">
        <v>0</v>
      </c>
      <c r="G75" s="2" t="s">
        <v>40</v>
      </c>
      <c r="H75" s="2"/>
      <c r="I75" s="2"/>
      <c r="J75" s="2"/>
      <c r="K75" s="2">
        <f t="shared" si="2"/>
        <v>0</v>
      </c>
    </row>
    <row r="76" spans="1:11">
      <c r="A76" s="2">
        <v>46264</v>
      </c>
      <c r="B76" s="2">
        <v>11</v>
      </c>
      <c r="C76" s="2" t="s">
        <v>140</v>
      </c>
      <c r="D76" s="2" t="s">
        <v>75</v>
      </c>
      <c r="E76" s="2"/>
      <c r="F76" s="2">
        <v>0</v>
      </c>
      <c r="G76" s="2" t="s">
        <v>40</v>
      </c>
      <c r="H76" s="2"/>
      <c r="I76" s="2"/>
      <c r="J76" s="2"/>
      <c r="K76" s="2">
        <f t="shared" si="2"/>
        <v>0</v>
      </c>
    </row>
    <row r="77" spans="1:11">
      <c r="A77" s="2">
        <v>46265</v>
      </c>
      <c r="B77" s="2">
        <v>11</v>
      </c>
      <c r="C77" s="2" t="s">
        <v>141</v>
      </c>
      <c r="D77" s="2" t="s">
        <v>75</v>
      </c>
      <c r="E77" s="2"/>
      <c r="F77" s="2">
        <v>0</v>
      </c>
      <c r="G77" s="2" t="s">
        <v>40</v>
      </c>
      <c r="H77" s="2"/>
      <c r="I77" s="2"/>
      <c r="J77" s="2"/>
      <c r="K77" s="2">
        <f t="shared" si="2"/>
        <v>0</v>
      </c>
    </row>
    <row r="78" spans="1:11">
      <c r="A78" s="2">
        <v>46266</v>
      </c>
      <c r="B78" s="2">
        <v>11</v>
      </c>
      <c r="C78" s="2" t="s">
        <v>142</v>
      </c>
      <c r="D78" s="2" t="s">
        <v>75</v>
      </c>
      <c r="E78" s="2"/>
      <c r="F78" s="2">
        <v>0</v>
      </c>
      <c r="G78" s="2" t="s">
        <v>40</v>
      </c>
      <c r="H78" s="2"/>
      <c r="I78" s="2"/>
      <c r="J78" s="2"/>
      <c r="K78" s="2">
        <f t="shared" si="2"/>
        <v>0</v>
      </c>
    </row>
    <row r="79" spans="1:11">
      <c r="A79" s="2">
        <v>46267</v>
      </c>
      <c r="B79" s="2">
        <v>12</v>
      </c>
      <c r="C79" s="2" t="s">
        <v>136</v>
      </c>
      <c r="D79" s="2" t="s">
        <v>79</v>
      </c>
      <c r="E79" s="2"/>
      <c r="F79" s="2">
        <v>0</v>
      </c>
      <c r="G79" s="2" t="s">
        <v>40</v>
      </c>
      <c r="H79" s="2"/>
      <c r="I79" s="2"/>
      <c r="J79" s="2"/>
      <c r="K79" s="2">
        <f t="shared" si="2"/>
        <v>0</v>
      </c>
    </row>
    <row r="80" spans="1:11">
      <c r="A80" s="2">
        <v>46268</v>
      </c>
      <c r="B80" s="2">
        <v>12</v>
      </c>
      <c r="C80" s="2" t="s">
        <v>137</v>
      </c>
      <c r="D80" s="2" t="s">
        <v>79</v>
      </c>
      <c r="E80" s="2"/>
      <c r="F80" s="2">
        <v>0</v>
      </c>
      <c r="G80" s="2" t="s">
        <v>40</v>
      </c>
      <c r="H80" s="2"/>
      <c r="I80" s="2"/>
      <c r="J80" s="2"/>
      <c r="K80" s="2">
        <f t="shared" si="2"/>
        <v>0</v>
      </c>
    </row>
    <row r="81" spans="1:11">
      <c r="A81" s="2">
        <v>46269</v>
      </c>
      <c r="B81" s="2">
        <v>12</v>
      </c>
      <c r="C81" s="2" t="s">
        <v>138</v>
      </c>
      <c r="D81" s="2" t="s">
        <v>79</v>
      </c>
      <c r="E81" s="2"/>
      <c r="F81" s="2">
        <v>0</v>
      </c>
      <c r="G81" s="2" t="s">
        <v>40</v>
      </c>
      <c r="H81" s="2"/>
      <c r="I81" s="2"/>
      <c r="J81" s="2"/>
      <c r="K81" s="2">
        <f t="shared" si="2"/>
        <v>0</v>
      </c>
    </row>
    <row r="82" spans="1:11">
      <c r="A82" s="2">
        <v>46270</v>
      </c>
      <c r="B82" s="2">
        <v>12</v>
      </c>
      <c r="C82" s="2" t="s">
        <v>139</v>
      </c>
      <c r="D82" s="2" t="s">
        <v>79</v>
      </c>
      <c r="E82" s="2"/>
      <c r="F82" s="2">
        <v>0</v>
      </c>
      <c r="G82" s="2" t="s">
        <v>40</v>
      </c>
      <c r="H82" s="2"/>
      <c r="I82" s="2"/>
      <c r="J82" s="2"/>
      <c r="K82" s="2">
        <f t="shared" si="2"/>
        <v>0</v>
      </c>
    </row>
    <row r="83" spans="1:11">
      <c r="A83" s="2">
        <v>46271</v>
      </c>
      <c r="B83" s="2">
        <v>12</v>
      </c>
      <c r="C83" s="2" t="s">
        <v>140</v>
      </c>
      <c r="D83" s="2" t="s">
        <v>79</v>
      </c>
      <c r="E83" s="2"/>
      <c r="F83" s="2">
        <v>0</v>
      </c>
      <c r="G83" s="2" t="s">
        <v>40</v>
      </c>
      <c r="H83" s="2"/>
      <c r="I83" s="2"/>
      <c r="J83" s="2"/>
      <c r="K83" s="2">
        <f t="shared" si="2"/>
        <v>0</v>
      </c>
    </row>
    <row r="84" spans="1:11">
      <c r="A84" s="2">
        <v>46272</v>
      </c>
      <c r="B84" s="2">
        <v>12</v>
      </c>
      <c r="C84" s="2" t="s">
        <v>141</v>
      </c>
      <c r="D84" s="2" t="s">
        <v>79</v>
      </c>
      <c r="E84" s="2"/>
      <c r="F84" s="2">
        <v>0</v>
      </c>
      <c r="G84" s="2" t="s">
        <v>40</v>
      </c>
      <c r="H84" s="2"/>
      <c r="I84" s="2"/>
      <c r="J84" s="2"/>
      <c r="K84" s="2">
        <f t="shared" si="2"/>
        <v>0</v>
      </c>
    </row>
    <row r="85" spans="1:11">
      <c r="A85" s="2">
        <v>46273</v>
      </c>
      <c r="B85" s="2">
        <v>12</v>
      </c>
      <c r="C85" s="2" t="s">
        <v>142</v>
      </c>
      <c r="D85" s="2" t="s">
        <v>79</v>
      </c>
      <c r="E85" s="2"/>
      <c r="F85" s="2">
        <v>0</v>
      </c>
      <c r="G85" s="2" t="s">
        <v>40</v>
      </c>
      <c r="H85" s="2"/>
      <c r="I85" s="2"/>
      <c r="J85" s="2"/>
      <c r="K85" s="2">
        <f t="shared" si="2"/>
        <v>0</v>
      </c>
    </row>
    <row r="86" spans="1:11">
      <c r="A86" s="2">
        <v>46274</v>
      </c>
      <c r="B86" s="2">
        <v>13</v>
      </c>
      <c r="C86" s="2" t="s">
        <v>136</v>
      </c>
      <c r="D86" s="2" t="s">
        <v>83</v>
      </c>
      <c r="E86" s="2"/>
      <c r="F86" s="2">
        <v>0</v>
      </c>
      <c r="G86" s="2" t="s">
        <v>40</v>
      </c>
      <c r="H86" s="2"/>
      <c r="I86" s="2"/>
      <c r="J86" s="2"/>
      <c r="K86" s="2">
        <f t="shared" si="2"/>
        <v>0</v>
      </c>
    </row>
    <row r="87" spans="1:11">
      <c r="A87" s="2">
        <v>46275</v>
      </c>
      <c r="B87" s="2">
        <v>13</v>
      </c>
      <c r="C87" s="2" t="s">
        <v>137</v>
      </c>
      <c r="D87" s="2" t="s">
        <v>83</v>
      </c>
      <c r="E87" s="2"/>
      <c r="F87" s="2">
        <v>0</v>
      </c>
      <c r="G87" s="2" t="s">
        <v>40</v>
      </c>
      <c r="H87" s="2"/>
      <c r="I87" s="2"/>
      <c r="J87" s="2"/>
      <c r="K87" s="2">
        <f t="shared" si="2"/>
        <v>0</v>
      </c>
    </row>
    <row r="88" spans="1:11">
      <c r="A88" s="2">
        <v>46276</v>
      </c>
      <c r="B88" s="2">
        <v>13</v>
      </c>
      <c r="C88" s="2" t="s">
        <v>138</v>
      </c>
      <c r="D88" s="2" t="s">
        <v>83</v>
      </c>
      <c r="E88" s="2"/>
      <c r="F88" s="2">
        <v>0</v>
      </c>
      <c r="G88" s="2" t="s">
        <v>40</v>
      </c>
      <c r="H88" s="2"/>
      <c r="I88" s="2"/>
      <c r="J88" s="2"/>
      <c r="K88" s="2">
        <f t="shared" si="2"/>
        <v>0</v>
      </c>
    </row>
    <row r="89" spans="1:11">
      <c r="A89" s="2">
        <v>46277</v>
      </c>
      <c r="B89" s="2">
        <v>13</v>
      </c>
      <c r="C89" s="2" t="s">
        <v>139</v>
      </c>
      <c r="D89" s="2" t="s">
        <v>83</v>
      </c>
      <c r="E89" s="2"/>
      <c r="F89" s="2">
        <v>0</v>
      </c>
      <c r="G89" s="2" t="s">
        <v>40</v>
      </c>
      <c r="H89" s="2"/>
      <c r="I89" s="2"/>
      <c r="J89" s="2"/>
      <c r="K89" s="2">
        <f t="shared" si="2"/>
        <v>0</v>
      </c>
    </row>
    <row r="90" spans="1:11">
      <c r="A90" s="2">
        <v>46278</v>
      </c>
      <c r="B90" s="2">
        <v>13</v>
      </c>
      <c r="C90" s="2" t="s">
        <v>140</v>
      </c>
      <c r="D90" s="2" t="s">
        <v>83</v>
      </c>
      <c r="E90" s="2"/>
      <c r="F90" s="2">
        <v>0</v>
      </c>
      <c r="G90" s="2" t="s">
        <v>40</v>
      </c>
      <c r="H90" s="2"/>
      <c r="I90" s="2"/>
      <c r="J90" s="2"/>
      <c r="K90" s="2">
        <f t="shared" si="2"/>
        <v>0</v>
      </c>
    </row>
    <row r="91" spans="1:11">
      <c r="A91" s="2">
        <v>46279</v>
      </c>
      <c r="B91" s="2">
        <v>13</v>
      </c>
      <c r="C91" s="2" t="s">
        <v>141</v>
      </c>
      <c r="D91" s="2" t="s">
        <v>83</v>
      </c>
      <c r="E91" s="2"/>
      <c r="F91" s="2">
        <v>0</v>
      </c>
      <c r="G91" s="2" t="s">
        <v>40</v>
      </c>
      <c r="H91" s="2"/>
      <c r="I91" s="2"/>
      <c r="J91" s="2"/>
      <c r="K91" s="2">
        <f t="shared" si="2"/>
        <v>0</v>
      </c>
    </row>
    <row r="92" spans="1:11">
      <c r="A92" s="2">
        <v>46280</v>
      </c>
      <c r="B92" s="2">
        <v>13</v>
      </c>
      <c r="C92" s="2" t="s">
        <v>142</v>
      </c>
      <c r="D92" s="2" t="s">
        <v>83</v>
      </c>
      <c r="E92" s="2"/>
      <c r="F92" s="2">
        <v>0</v>
      </c>
      <c r="G92" s="2" t="s">
        <v>40</v>
      </c>
      <c r="H92" s="2"/>
      <c r="I92" s="2"/>
      <c r="J92" s="2"/>
      <c r="K92" s="2">
        <f t="shared" si="2"/>
        <v>0</v>
      </c>
    </row>
    <row r="93" spans="1:11">
      <c r="A93" s="2">
        <v>46281</v>
      </c>
      <c r="B93" s="2">
        <v>14</v>
      </c>
      <c r="C93" s="2" t="s">
        <v>136</v>
      </c>
      <c r="D93" s="2" t="s">
        <v>87</v>
      </c>
      <c r="E93" s="2"/>
      <c r="F93" s="2">
        <v>0</v>
      </c>
      <c r="G93" s="2" t="s">
        <v>40</v>
      </c>
      <c r="H93" s="2"/>
      <c r="I93" s="2"/>
      <c r="J93" s="2"/>
      <c r="K93" s="2">
        <f t="shared" si="2"/>
        <v>0</v>
      </c>
    </row>
    <row r="94" spans="1:11">
      <c r="A94" s="2">
        <v>46282</v>
      </c>
      <c r="B94" s="2">
        <v>14</v>
      </c>
      <c r="C94" s="2" t="s">
        <v>137</v>
      </c>
      <c r="D94" s="2" t="s">
        <v>87</v>
      </c>
      <c r="E94" s="2"/>
      <c r="F94" s="2">
        <v>0</v>
      </c>
      <c r="G94" s="2" t="s">
        <v>40</v>
      </c>
      <c r="H94" s="2"/>
      <c r="I94" s="2"/>
      <c r="J94" s="2"/>
      <c r="K94" s="2">
        <f t="shared" si="2"/>
        <v>0</v>
      </c>
    </row>
    <row r="95" spans="1:11">
      <c r="A95" s="2">
        <v>46283</v>
      </c>
      <c r="B95" s="2">
        <v>14</v>
      </c>
      <c r="C95" s="2" t="s">
        <v>138</v>
      </c>
      <c r="D95" s="2" t="s">
        <v>87</v>
      </c>
      <c r="E95" s="2"/>
      <c r="F95" s="2">
        <v>0</v>
      </c>
      <c r="G95" s="2" t="s">
        <v>40</v>
      </c>
      <c r="H95" s="2"/>
      <c r="I95" s="2"/>
      <c r="J95" s="2"/>
      <c r="K95" s="2">
        <f t="shared" si="2"/>
        <v>0</v>
      </c>
    </row>
    <row r="96" spans="1:11">
      <c r="A96" s="2">
        <v>46284</v>
      </c>
      <c r="B96" s="2">
        <v>14</v>
      </c>
      <c r="C96" s="2" t="s">
        <v>139</v>
      </c>
      <c r="D96" s="2" t="s">
        <v>87</v>
      </c>
      <c r="E96" s="2"/>
      <c r="F96" s="2">
        <v>0</v>
      </c>
      <c r="G96" s="2" t="s">
        <v>40</v>
      </c>
      <c r="H96" s="2"/>
      <c r="I96" s="2"/>
      <c r="J96" s="2"/>
      <c r="K96" s="2">
        <f t="shared" si="2"/>
        <v>0</v>
      </c>
    </row>
    <row r="97" spans="1:11">
      <c r="A97" s="2">
        <v>46285</v>
      </c>
      <c r="B97" s="2">
        <v>14</v>
      </c>
      <c r="C97" s="2" t="s">
        <v>140</v>
      </c>
      <c r="D97" s="2" t="s">
        <v>87</v>
      </c>
      <c r="E97" s="2"/>
      <c r="F97" s="2">
        <v>0</v>
      </c>
      <c r="G97" s="2" t="s">
        <v>40</v>
      </c>
      <c r="H97" s="2"/>
      <c r="I97" s="2"/>
      <c r="J97" s="2"/>
      <c r="K97" s="2">
        <f t="shared" si="2"/>
        <v>0</v>
      </c>
    </row>
    <row r="98" spans="1:11">
      <c r="A98" s="2">
        <v>46286</v>
      </c>
      <c r="B98" s="2">
        <v>14</v>
      </c>
      <c r="C98" s="2" t="s">
        <v>141</v>
      </c>
      <c r="D98" s="2" t="s">
        <v>87</v>
      </c>
      <c r="E98" s="2"/>
      <c r="F98" s="2">
        <v>0</v>
      </c>
      <c r="G98" s="2" t="s">
        <v>40</v>
      </c>
      <c r="H98" s="2"/>
      <c r="I98" s="2"/>
      <c r="J98" s="2"/>
      <c r="K98" s="2">
        <f t="shared" ref="K98:K129" si="3">IF(G98="تم",3,IF(G98="قيد التنفيذ",2,IF(G98="محجوب",1,IF(G98="متوقف",0,0))))</f>
        <v>0</v>
      </c>
    </row>
    <row r="99" spans="1:11">
      <c r="A99" s="2">
        <v>46287</v>
      </c>
      <c r="B99" s="2">
        <v>14</v>
      </c>
      <c r="C99" s="2" t="s">
        <v>142</v>
      </c>
      <c r="D99" s="2" t="s">
        <v>87</v>
      </c>
      <c r="E99" s="2"/>
      <c r="F99" s="2">
        <v>0</v>
      </c>
      <c r="G99" s="2" t="s">
        <v>40</v>
      </c>
      <c r="H99" s="2"/>
      <c r="I99" s="2"/>
      <c r="J99" s="2"/>
      <c r="K99" s="2">
        <f t="shared" si="3"/>
        <v>0</v>
      </c>
    </row>
    <row r="100" spans="1:11">
      <c r="A100" s="2">
        <v>46288</v>
      </c>
      <c r="B100" s="2">
        <v>15</v>
      </c>
      <c r="C100" s="2" t="s">
        <v>136</v>
      </c>
      <c r="D100" s="2" t="s">
        <v>91</v>
      </c>
      <c r="E100" s="2"/>
      <c r="F100" s="2">
        <v>0</v>
      </c>
      <c r="G100" s="2" t="s">
        <v>40</v>
      </c>
      <c r="H100" s="2"/>
      <c r="I100" s="2"/>
      <c r="J100" s="2"/>
      <c r="K100" s="2">
        <f t="shared" si="3"/>
        <v>0</v>
      </c>
    </row>
    <row r="101" spans="1:11">
      <c r="A101" s="2">
        <v>46289</v>
      </c>
      <c r="B101" s="2">
        <v>15</v>
      </c>
      <c r="C101" s="2" t="s">
        <v>137</v>
      </c>
      <c r="D101" s="2" t="s">
        <v>91</v>
      </c>
      <c r="E101" s="2"/>
      <c r="F101" s="2">
        <v>0</v>
      </c>
      <c r="G101" s="2" t="s">
        <v>40</v>
      </c>
      <c r="H101" s="2"/>
      <c r="I101" s="2"/>
      <c r="J101" s="2"/>
      <c r="K101" s="2">
        <f t="shared" si="3"/>
        <v>0</v>
      </c>
    </row>
    <row r="102" spans="1:11">
      <c r="A102" s="2">
        <v>46290</v>
      </c>
      <c r="B102" s="2">
        <v>15</v>
      </c>
      <c r="C102" s="2" t="s">
        <v>138</v>
      </c>
      <c r="D102" s="2" t="s">
        <v>91</v>
      </c>
      <c r="E102" s="2"/>
      <c r="F102" s="2">
        <v>0</v>
      </c>
      <c r="G102" s="2" t="s">
        <v>40</v>
      </c>
      <c r="H102" s="2"/>
      <c r="I102" s="2"/>
      <c r="J102" s="2"/>
      <c r="K102" s="2">
        <f t="shared" si="3"/>
        <v>0</v>
      </c>
    </row>
    <row r="103" spans="1:11">
      <c r="A103" s="2">
        <v>46291</v>
      </c>
      <c r="B103" s="2">
        <v>15</v>
      </c>
      <c r="C103" s="2" t="s">
        <v>139</v>
      </c>
      <c r="D103" s="2" t="s">
        <v>91</v>
      </c>
      <c r="E103" s="2"/>
      <c r="F103" s="2">
        <v>0</v>
      </c>
      <c r="G103" s="2" t="s">
        <v>40</v>
      </c>
      <c r="H103" s="2"/>
      <c r="I103" s="2"/>
      <c r="J103" s="2"/>
      <c r="K103" s="2">
        <f t="shared" si="3"/>
        <v>0</v>
      </c>
    </row>
    <row r="104" spans="1:11">
      <c r="A104" s="2">
        <v>46292</v>
      </c>
      <c r="B104" s="2">
        <v>15</v>
      </c>
      <c r="C104" s="2" t="s">
        <v>140</v>
      </c>
      <c r="D104" s="2" t="s">
        <v>91</v>
      </c>
      <c r="E104" s="2"/>
      <c r="F104" s="2">
        <v>0</v>
      </c>
      <c r="G104" s="2" t="s">
        <v>40</v>
      </c>
      <c r="H104" s="2"/>
      <c r="I104" s="2"/>
      <c r="J104" s="2"/>
      <c r="K104" s="2">
        <f t="shared" si="3"/>
        <v>0</v>
      </c>
    </row>
    <row r="105" spans="1:11">
      <c r="A105" s="2">
        <v>46293</v>
      </c>
      <c r="B105" s="2">
        <v>15</v>
      </c>
      <c r="C105" s="2" t="s">
        <v>141</v>
      </c>
      <c r="D105" s="2" t="s">
        <v>91</v>
      </c>
      <c r="E105" s="2"/>
      <c r="F105" s="2">
        <v>0</v>
      </c>
      <c r="G105" s="2" t="s">
        <v>40</v>
      </c>
      <c r="H105" s="2"/>
      <c r="I105" s="2"/>
      <c r="J105" s="2"/>
      <c r="K105" s="2">
        <f t="shared" si="3"/>
        <v>0</v>
      </c>
    </row>
    <row r="106" spans="1:11">
      <c r="A106" s="2">
        <v>46294</v>
      </c>
      <c r="B106" s="2">
        <v>15</v>
      </c>
      <c r="C106" s="2" t="s">
        <v>142</v>
      </c>
      <c r="D106" s="2" t="s">
        <v>91</v>
      </c>
      <c r="E106" s="2"/>
      <c r="F106" s="2">
        <v>0</v>
      </c>
      <c r="G106" s="2" t="s">
        <v>40</v>
      </c>
      <c r="H106" s="2"/>
      <c r="I106" s="2"/>
      <c r="J106" s="2"/>
      <c r="K106" s="2">
        <f t="shared" si="3"/>
        <v>0</v>
      </c>
    </row>
    <row r="107" spans="1:11">
      <c r="A107" s="2">
        <v>46295</v>
      </c>
      <c r="B107" s="2">
        <v>16</v>
      </c>
      <c r="C107" s="2" t="s">
        <v>136</v>
      </c>
      <c r="D107" s="2" t="s">
        <v>95</v>
      </c>
      <c r="E107" s="2"/>
      <c r="F107" s="2">
        <v>0</v>
      </c>
      <c r="G107" s="2" t="s">
        <v>40</v>
      </c>
      <c r="H107" s="2"/>
      <c r="I107" s="2"/>
      <c r="J107" s="2"/>
      <c r="K107" s="2">
        <f t="shared" si="3"/>
        <v>0</v>
      </c>
    </row>
    <row r="108" spans="1:11">
      <c r="A108" s="2">
        <v>46296</v>
      </c>
      <c r="B108" s="2">
        <v>16</v>
      </c>
      <c r="C108" s="2" t="s">
        <v>137</v>
      </c>
      <c r="D108" s="2" t="s">
        <v>95</v>
      </c>
      <c r="E108" s="2"/>
      <c r="F108" s="2">
        <v>0</v>
      </c>
      <c r="G108" s="2" t="s">
        <v>40</v>
      </c>
      <c r="H108" s="2"/>
      <c r="I108" s="2"/>
      <c r="J108" s="2"/>
      <c r="K108" s="2">
        <f t="shared" si="3"/>
        <v>0</v>
      </c>
    </row>
    <row r="109" spans="1:11">
      <c r="A109" s="2">
        <v>46297</v>
      </c>
      <c r="B109" s="2">
        <v>16</v>
      </c>
      <c r="C109" s="2" t="s">
        <v>138</v>
      </c>
      <c r="D109" s="2" t="s">
        <v>95</v>
      </c>
      <c r="E109" s="2"/>
      <c r="F109" s="2">
        <v>0</v>
      </c>
      <c r="G109" s="2" t="s">
        <v>40</v>
      </c>
      <c r="H109" s="2"/>
      <c r="I109" s="2"/>
      <c r="J109" s="2"/>
      <c r="K109" s="2">
        <f t="shared" si="3"/>
        <v>0</v>
      </c>
    </row>
    <row r="110" spans="1:11">
      <c r="A110" s="2">
        <v>46298</v>
      </c>
      <c r="B110" s="2">
        <v>16</v>
      </c>
      <c r="C110" s="2" t="s">
        <v>139</v>
      </c>
      <c r="D110" s="2" t="s">
        <v>95</v>
      </c>
      <c r="E110" s="2"/>
      <c r="F110" s="2">
        <v>0</v>
      </c>
      <c r="G110" s="2" t="s">
        <v>40</v>
      </c>
      <c r="H110" s="2"/>
      <c r="I110" s="2"/>
      <c r="J110" s="2"/>
      <c r="K110" s="2">
        <f t="shared" si="3"/>
        <v>0</v>
      </c>
    </row>
    <row r="111" spans="1:11">
      <c r="A111" s="2">
        <v>46299</v>
      </c>
      <c r="B111" s="2">
        <v>16</v>
      </c>
      <c r="C111" s="2" t="s">
        <v>140</v>
      </c>
      <c r="D111" s="2" t="s">
        <v>95</v>
      </c>
      <c r="E111" s="2"/>
      <c r="F111" s="2">
        <v>0</v>
      </c>
      <c r="G111" s="2" t="s">
        <v>40</v>
      </c>
      <c r="H111" s="2"/>
      <c r="I111" s="2"/>
      <c r="J111" s="2"/>
      <c r="K111" s="2">
        <f t="shared" si="3"/>
        <v>0</v>
      </c>
    </row>
    <row r="112" spans="1:11">
      <c r="A112" s="2">
        <v>46300</v>
      </c>
      <c r="B112" s="2">
        <v>16</v>
      </c>
      <c r="C112" s="2" t="s">
        <v>141</v>
      </c>
      <c r="D112" s="2" t="s">
        <v>95</v>
      </c>
      <c r="E112" s="2"/>
      <c r="F112" s="2">
        <v>0</v>
      </c>
      <c r="G112" s="2" t="s">
        <v>40</v>
      </c>
      <c r="H112" s="2"/>
      <c r="I112" s="2"/>
      <c r="J112" s="2"/>
      <c r="K112" s="2">
        <f t="shared" si="3"/>
        <v>0</v>
      </c>
    </row>
    <row r="113" spans="1:11">
      <c r="A113" s="2">
        <v>46301</v>
      </c>
      <c r="B113" s="2">
        <v>16</v>
      </c>
      <c r="C113" s="2" t="s">
        <v>142</v>
      </c>
      <c r="D113" s="2" t="s">
        <v>95</v>
      </c>
      <c r="E113" s="2"/>
      <c r="F113" s="2">
        <v>0</v>
      </c>
      <c r="G113" s="2" t="s">
        <v>40</v>
      </c>
      <c r="H113" s="2"/>
      <c r="I113" s="2"/>
      <c r="J113" s="2"/>
      <c r="K113" s="2">
        <f t="shared" si="3"/>
        <v>0</v>
      </c>
    </row>
    <row r="114" spans="1:11">
      <c r="A114" s="2">
        <v>46302</v>
      </c>
      <c r="B114" s="2">
        <v>17</v>
      </c>
      <c r="C114" s="2" t="s">
        <v>136</v>
      </c>
      <c r="D114" s="2" t="s">
        <v>99</v>
      </c>
      <c r="E114" s="2"/>
      <c r="F114" s="2">
        <v>0</v>
      </c>
      <c r="G114" s="2" t="s">
        <v>40</v>
      </c>
      <c r="H114" s="2"/>
      <c r="I114" s="2"/>
      <c r="J114" s="2"/>
      <c r="K114" s="2">
        <f t="shared" si="3"/>
        <v>0</v>
      </c>
    </row>
    <row r="115" spans="1:11">
      <c r="A115" s="2">
        <v>46303</v>
      </c>
      <c r="B115" s="2">
        <v>17</v>
      </c>
      <c r="C115" s="2" t="s">
        <v>137</v>
      </c>
      <c r="D115" s="2" t="s">
        <v>99</v>
      </c>
      <c r="E115" s="2"/>
      <c r="F115" s="2">
        <v>0</v>
      </c>
      <c r="G115" s="2" t="s">
        <v>40</v>
      </c>
      <c r="H115" s="2"/>
      <c r="I115" s="2"/>
      <c r="J115" s="2"/>
      <c r="K115" s="2">
        <f t="shared" si="3"/>
        <v>0</v>
      </c>
    </row>
    <row r="116" spans="1:11">
      <c r="A116" s="2">
        <v>46304</v>
      </c>
      <c r="B116" s="2">
        <v>17</v>
      </c>
      <c r="C116" s="2" t="s">
        <v>138</v>
      </c>
      <c r="D116" s="2" t="s">
        <v>99</v>
      </c>
      <c r="E116" s="2"/>
      <c r="F116" s="2">
        <v>0</v>
      </c>
      <c r="G116" s="2" t="s">
        <v>40</v>
      </c>
      <c r="H116" s="2"/>
      <c r="I116" s="2"/>
      <c r="J116" s="2"/>
      <c r="K116" s="2">
        <f t="shared" si="3"/>
        <v>0</v>
      </c>
    </row>
    <row r="117" spans="1:11">
      <c r="A117" s="2">
        <v>46305</v>
      </c>
      <c r="B117" s="2">
        <v>17</v>
      </c>
      <c r="C117" s="2" t="s">
        <v>139</v>
      </c>
      <c r="D117" s="2" t="s">
        <v>99</v>
      </c>
      <c r="E117" s="2"/>
      <c r="F117" s="2">
        <v>0</v>
      </c>
      <c r="G117" s="2" t="s">
        <v>40</v>
      </c>
      <c r="H117" s="2"/>
      <c r="I117" s="2"/>
      <c r="J117" s="2"/>
      <c r="K117" s="2">
        <f t="shared" si="3"/>
        <v>0</v>
      </c>
    </row>
    <row r="118" spans="1:11">
      <c r="A118" s="2">
        <v>46306</v>
      </c>
      <c r="B118" s="2">
        <v>17</v>
      </c>
      <c r="C118" s="2" t="s">
        <v>140</v>
      </c>
      <c r="D118" s="2" t="s">
        <v>99</v>
      </c>
      <c r="E118" s="2"/>
      <c r="F118" s="2">
        <v>0</v>
      </c>
      <c r="G118" s="2" t="s">
        <v>40</v>
      </c>
      <c r="H118" s="2"/>
      <c r="I118" s="2"/>
      <c r="J118" s="2"/>
      <c r="K118" s="2">
        <f t="shared" si="3"/>
        <v>0</v>
      </c>
    </row>
    <row r="119" spans="1:11">
      <c r="A119" s="2">
        <v>46307</v>
      </c>
      <c r="B119" s="2">
        <v>17</v>
      </c>
      <c r="C119" s="2" t="s">
        <v>141</v>
      </c>
      <c r="D119" s="2" t="s">
        <v>99</v>
      </c>
      <c r="E119" s="2"/>
      <c r="F119" s="2">
        <v>0</v>
      </c>
      <c r="G119" s="2" t="s">
        <v>40</v>
      </c>
      <c r="H119" s="2"/>
      <c r="I119" s="2"/>
      <c r="J119" s="2"/>
      <c r="K119" s="2">
        <f t="shared" si="3"/>
        <v>0</v>
      </c>
    </row>
    <row r="120" spans="1:11">
      <c r="A120" s="2">
        <v>46308</v>
      </c>
      <c r="B120" s="2">
        <v>17</v>
      </c>
      <c r="C120" s="2" t="s">
        <v>142</v>
      </c>
      <c r="D120" s="2" t="s">
        <v>99</v>
      </c>
      <c r="E120" s="2"/>
      <c r="F120" s="2">
        <v>0</v>
      </c>
      <c r="G120" s="2" t="s">
        <v>40</v>
      </c>
      <c r="H120" s="2"/>
      <c r="I120" s="2"/>
      <c r="J120" s="2"/>
      <c r="K120" s="2">
        <f t="shared" si="3"/>
        <v>0</v>
      </c>
    </row>
    <row r="121" spans="1:11">
      <c r="A121" s="2">
        <v>46309</v>
      </c>
      <c r="B121" s="2">
        <v>18</v>
      </c>
      <c r="C121" s="2" t="s">
        <v>136</v>
      </c>
      <c r="D121" s="2" t="s">
        <v>102</v>
      </c>
      <c r="E121" s="2"/>
      <c r="F121" s="2">
        <v>0</v>
      </c>
      <c r="G121" s="2" t="s">
        <v>40</v>
      </c>
      <c r="H121" s="2"/>
      <c r="I121" s="2"/>
      <c r="J121" s="2"/>
      <c r="K121" s="2">
        <f t="shared" si="3"/>
        <v>0</v>
      </c>
    </row>
    <row r="122" spans="1:11">
      <c r="A122" s="2">
        <v>46310</v>
      </c>
      <c r="B122" s="2">
        <v>18</v>
      </c>
      <c r="C122" s="2" t="s">
        <v>137</v>
      </c>
      <c r="D122" s="2" t="s">
        <v>102</v>
      </c>
      <c r="E122" s="2"/>
      <c r="F122" s="2">
        <v>0</v>
      </c>
      <c r="G122" s="2" t="s">
        <v>40</v>
      </c>
      <c r="H122" s="2"/>
      <c r="I122" s="2"/>
      <c r="J122" s="2"/>
      <c r="K122" s="2">
        <f t="shared" si="3"/>
        <v>0</v>
      </c>
    </row>
    <row r="123" spans="1:11">
      <c r="A123" s="2">
        <v>46311</v>
      </c>
      <c r="B123" s="2">
        <v>18</v>
      </c>
      <c r="C123" s="2" t="s">
        <v>138</v>
      </c>
      <c r="D123" s="2" t="s">
        <v>102</v>
      </c>
      <c r="E123" s="2"/>
      <c r="F123" s="2">
        <v>0</v>
      </c>
      <c r="G123" s="2" t="s">
        <v>40</v>
      </c>
      <c r="H123" s="2"/>
      <c r="I123" s="2"/>
      <c r="J123" s="2"/>
      <c r="K123" s="2">
        <f t="shared" si="3"/>
        <v>0</v>
      </c>
    </row>
    <row r="124" spans="1:11">
      <c r="A124" s="2">
        <v>46312</v>
      </c>
      <c r="B124" s="2">
        <v>18</v>
      </c>
      <c r="C124" s="2" t="s">
        <v>139</v>
      </c>
      <c r="D124" s="2" t="s">
        <v>102</v>
      </c>
      <c r="E124" s="2"/>
      <c r="F124" s="2">
        <v>0</v>
      </c>
      <c r="G124" s="2" t="s">
        <v>40</v>
      </c>
      <c r="H124" s="2"/>
      <c r="I124" s="2"/>
      <c r="J124" s="2"/>
      <c r="K124" s="2">
        <f t="shared" si="3"/>
        <v>0</v>
      </c>
    </row>
    <row r="125" spans="1:11">
      <c r="A125" s="2">
        <v>46313</v>
      </c>
      <c r="B125" s="2">
        <v>18</v>
      </c>
      <c r="C125" s="2" t="s">
        <v>140</v>
      </c>
      <c r="D125" s="2" t="s">
        <v>102</v>
      </c>
      <c r="E125" s="2"/>
      <c r="F125" s="2">
        <v>0</v>
      </c>
      <c r="G125" s="2" t="s">
        <v>40</v>
      </c>
      <c r="H125" s="2"/>
      <c r="I125" s="2"/>
      <c r="J125" s="2"/>
      <c r="K125" s="2">
        <f t="shared" si="3"/>
        <v>0</v>
      </c>
    </row>
    <row r="126" spans="1:11">
      <c r="A126" s="2">
        <v>46314</v>
      </c>
      <c r="B126" s="2">
        <v>18</v>
      </c>
      <c r="C126" s="2" t="s">
        <v>141</v>
      </c>
      <c r="D126" s="2" t="s">
        <v>102</v>
      </c>
      <c r="E126" s="2"/>
      <c r="F126" s="2">
        <v>0</v>
      </c>
      <c r="G126" s="2" t="s">
        <v>40</v>
      </c>
      <c r="H126" s="2"/>
      <c r="I126" s="2"/>
      <c r="J126" s="2"/>
      <c r="K126" s="2">
        <f t="shared" si="3"/>
        <v>0</v>
      </c>
    </row>
    <row r="127" spans="1:11">
      <c r="A127" s="2">
        <v>46315</v>
      </c>
      <c r="B127" s="2">
        <v>18</v>
      </c>
      <c r="C127" s="2" t="s">
        <v>142</v>
      </c>
      <c r="D127" s="2" t="s">
        <v>102</v>
      </c>
      <c r="E127" s="2"/>
      <c r="F127" s="2">
        <v>0</v>
      </c>
      <c r="G127" s="2" t="s">
        <v>40</v>
      </c>
      <c r="H127" s="2"/>
      <c r="I127" s="2"/>
      <c r="J127" s="2"/>
      <c r="K127" s="2">
        <f t="shared" si="3"/>
        <v>0</v>
      </c>
    </row>
    <row r="128" spans="1:11">
      <c r="A128" s="2">
        <v>46316</v>
      </c>
      <c r="B128" s="2">
        <v>19</v>
      </c>
      <c r="C128" s="2" t="s">
        <v>136</v>
      </c>
      <c r="D128" s="2" t="s">
        <v>106</v>
      </c>
      <c r="E128" s="2"/>
      <c r="F128" s="2">
        <v>0</v>
      </c>
      <c r="G128" s="2" t="s">
        <v>40</v>
      </c>
      <c r="H128" s="2"/>
      <c r="I128" s="2"/>
      <c r="J128" s="2"/>
      <c r="K128" s="2">
        <f t="shared" si="3"/>
        <v>0</v>
      </c>
    </row>
    <row r="129" spans="1:11">
      <c r="A129" s="2">
        <v>46317</v>
      </c>
      <c r="B129" s="2">
        <v>19</v>
      </c>
      <c r="C129" s="2" t="s">
        <v>137</v>
      </c>
      <c r="D129" s="2" t="s">
        <v>106</v>
      </c>
      <c r="E129" s="2"/>
      <c r="F129" s="2">
        <v>0</v>
      </c>
      <c r="G129" s="2" t="s">
        <v>40</v>
      </c>
      <c r="H129" s="2"/>
      <c r="I129" s="2"/>
      <c r="J129" s="2"/>
      <c r="K129" s="2">
        <f t="shared" si="3"/>
        <v>0</v>
      </c>
    </row>
    <row r="130" spans="1:11">
      <c r="A130" s="2">
        <v>46318</v>
      </c>
      <c r="B130" s="2">
        <v>19</v>
      </c>
      <c r="C130" s="2" t="s">
        <v>138</v>
      </c>
      <c r="D130" s="2" t="s">
        <v>106</v>
      </c>
      <c r="E130" s="2"/>
      <c r="F130" s="2">
        <v>0</v>
      </c>
      <c r="G130" s="2" t="s">
        <v>40</v>
      </c>
      <c r="H130" s="2"/>
      <c r="I130" s="2"/>
      <c r="J130" s="2"/>
      <c r="K130" s="2">
        <f t="shared" ref="K130:K161" si="4">IF(G130="تم",3,IF(G130="قيد التنفيذ",2,IF(G130="محجوب",1,IF(G130="متوقف",0,0))))</f>
        <v>0</v>
      </c>
    </row>
    <row r="131" spans="1:11">
      <c r="A131" s="2">
        <v>46319</v>
      </c>
      <c r="B131" s="2">
        <v>19</v>
      </c>
      <c r="C131" s="2" t="s">
        <v>139</v>
      </c>
      <c r="D131" s="2" t="s">
        <v>106</v>
      </c>
      <c r="E131" s="2"/>
      <c r="F131" s="2">
        <v>0</v>
      </c>
      <c r="G131" s="2" t="s">
        <v>40</v>
      </c>
      <c r="H131" s="2"/>
      <c r="I131" s="2"/>
      <c r="J131" s="2"/>
      <c r="K131" s="2">
        <f t="shared" si="4"/>
        <v>0</v>
      </c>
    </row>
    <row r="132" spans="1:11">
      <c r="A132" s="2">
        <v>46320</v>
      </c>
      <c r="B132" s="2">
        <v>19</v>
      </c>
      <c r="C132" s="2" t="s">
        <v>140</v>
      </c>
      <c r="D132" s="2" t="s">
        <v>106</v>
      </c>
      <c r="E132" s="2"/>
      <c r="F132" s="2">
        <v>0</v>
      </c>
      <c r="G132" s="2" t="s">
        <v>40</v>
      </c>
      <c r="H132" s="2"/>
      <c r="I132" s="2"/>
      <c r="J132" s="2"/>
      <c r="K132" s="2">
        <f t="shared" si="4"/>
        <v>0</v>
      </c>
    </row>
    <row r="133" spans="1:11">
      <c r="A133" s="2">
        <v>46321</v>
      </c>
      <c r="B133" s="2">
        <v>19</v>
      </c>
      <c r="C133" s="2" t="s">
        <v>141</v>
      </c>
      <c r="D133" s="2" t="s">
        <v>106</v>
      </c>
      <c r="E133" s="2"/>
      <c r="F133" s="2">
        <v>0</v>
      </c>
      <c r="G133" s="2" t="s">
        <v>40</v>
      </c>
      <c r="H133" s="2"/>
      <c r="I133" s="2"/>
      <c r="J133" s="2"/>
      <c r="K133" s="2">
        <f t="shared" si="4"/>
        <v>0</v>
      </c>
    </row>
    <row r="134" spans="1:11">
      <c r="A134" s="2">
        <v>46322</v>
      </c>
      <c r="B134" s="2">
        <v>19</v>
      </c>
      <c r="C134" s="2" t="s">
        <v>142</v>
      </c>
      <c r="D134" s="2" t="s">
        <v>106</v>
      </c>
      <c r="E134" s="2"/>
      <c r="F134" s="2">
        <v>0</v>
      </c>
      <c r="G134" s="2" t="s">
        <v>40</v>
      </c>
      <c r="H134" s="2"/>
      <c r="I134" s="2"/>
      <c r="J134" s="2"/>
      <c r="K134" s="2">
        <f t="shared" si="4"/>
        <v>0</v>
      </c>
    </row>
    <row r="135" spans="1:11">
      <c r="A135" s="2">
        <v>46323</v>
      </c>
      <c r="B135" s="2">
        <v>20</v>
      </c>
      <c r="C135" s="2" t="s">
        <v>136</v>
      </c>
      <c r="D135" s="2" t="s">
        <v>110</v>
      </c>
      <c r="E135" s="2"/>
      <c r="F135" s="2">
        <v>0</v>
      </c>
      <c r="G135" s="2" t="s">
        <v>40</v>
      </c>
      <c r="H135" s="2"/>
      <c r="I135" s="2"/>
      <c r="J135" s="2"/>
      <c r="K135" s="2">
        <f t="shared" si="4"/>
        <v>0</v>
      </c>
    </row>
    <row r="136" spans="1:11">
      <c r="A136" s="2">
        <v>46324</v>
      </c>
      <c r="B136" s="2">
        <v>20</v>
      </c>
      <c r="C136" s="2" t="s">
        <v>137</v>
      </c>
      <c r="D136" s="2" t="s">
        <v>110</v>
      </c>
      <c r="E136" s="2"/>
      <c r="F136" s="2">
        <v>0</v>
      </c>
      <c r="G136" s="2" t="s">
        <v>40</v>
      </c>
      <c r="H136" s="2"/>
      <c r="I136" s="2"/>
      <c r="J136" s="2"/>
      <c r="K136" s="2">
        <f t="shared" si="4"/>
        <v>0</v>
      </c>
    </row>
    <row r="137" spans="1:11">
      <c r="A137" s="2">
        <v>46325</v>
      </c>
      <c r="B137" s="2">
        <v>20</v>
      </c>
      <c r="C137" s="2" t="s">
        <v>138</v>
      </c>
      <c r="D137" s="2" t="s">
        <v>110</v>
      </c>
      <c r="E137" s="2"/>
      <c r="F137" s="2">
        <v>0</v>
      </c>
      <c r="G137" s="2" t="s">
        <v>40</v>
      </c>
      <c r="H137" s="2"/>
      <c r="I137" s="2"/>
      <c r="J137" s="2"/>
      <c r="K137" s="2">
        <f t="shared" si="4"/>
        <v>0</v>
      </c>
    </row>
    <row r="138" spans="1:11">
      <c r="A138" s="2">
        <v>46326</v>
      </c>
      <c r="B138" s="2">
        <v>20</v>
      </c>
      <c r="C138" s="2" t="s">
        <v>139</v>
      </c>
      <c r="D138" s="2" t="s">
        <v>110</v>
      </c>
      <c r="E138" s="2"/>
      <c r="F138" s="2">
        <v>0</v>
      </c>
      <c r="G138" s="2" t="s">
        <v>40</v>
      </c>
      <c r="H138" s="2"/>
      <c r="I138" s="2"/>
      <c r="J138" s="2"/>
      <c r="K138" s="2">
        <f t="shared" si="4"/>
        <v>0</v>
      </c>
    </row>
    <row r="139" spans="1:11">
      <c r="A139" s="2">
        <v>46327</v>
      </c>
      <c r="B139" s="2">
        <v>20</v>
      </c>
      <c r="C139" s="2" t="s">
        <v>140</v>
      </c>
      <c r="D139" s="2" t="s">
        <v>110</v>
      </c>
      <c r="E139" s="2"/>
      <c r="F139" s="2">
        <v>0</v>
      </c>
      <c r="G139" s="2" t="s">
        <v>40</v>
      </c>
      <c r="H139" s="2"/>
      <c r="I139" s="2"/>
      <c r="J139" s="2"/>
      <c r="K139" s="2">
        <f t="shared" si="4"/>
        <v>0</v>
      </c>
    </row>
    <row r="140" spans="1:11">
      <c r="A140" s="2">
        <v>46328</v>
      </c>
      <c r="B140" s="2">
        <v>20</v>
      </c>
      <c r="C140" s="2" t="s">
        <v>141</v>
      </c>
      <c r="D140" s="2" t="s">
        <v>110</v>
      </c>
      <c r="E140" s="2"/>
      <c r="F140" s="2">
        <v>0</v>
      </c>
      <c r="G140" s="2" t="s">
        <v>40</v>
      </c>
      <c r="H140" s="2"/>
      <c r="I140" s="2"/>
      <c r="J140" s="2"/>
      <c r="K140" s="2">
        <f t="shared" si="4"/>
        <v>0</v>
      </c>
    </row>
    <row r="141" spans="1:11">
      <c r="A141" s="2">
        <v>46329</v>
      </c>
      <c r="B141" s="2">
        <v>20</v>
      </c>
      <c r="C141" s="2" t="s">
        <v>142</v>
      </c>
      <c r="D141" s="2" t="s">
        <v>110</v>
      </c>
      <c r="E141" s="2"/>
      <c r="F141" s="2">
        <v>0</v>
      </c>
      <c r="G141" s="2" t="s">
        <v>40</v>
      </c>
      <c r="H141" s="2"/>
      <c r="I141" s="2"/>
      <c r="J141" s="2"/>
      <c r="K141" s="2">
        <f t="shared" si="4"/>
        <v>0</v>
      </c>
    </row>
    <row r="142" spans="1:11">
      <c r="A142" s="2">
        <v>46330</v>
      </c>
      <c r="B142" s="2">
        <v>21</v>
      </c>
      <c r="C142" s="2" t="s">
        <v>136</v>
      </c>
      <c r="D142" s="2" t="s">
        <v>114</v>
      </c>
      <c r="E142" s="2"/>
      <c r="F142" s="2">
        <v>0</v>
      </c>
      <c r="G142" s="2" t="s">
        <v>40</v>
      </c>
      <c r="H142" s="2"/>
      <c r="I142" s="2"/>
      <c r="J142" s="2"/>
      <c r="K142" s="2">
        <f t="shared" si="4"/>
        <v>0</v>
      </c>
    </row>
    <row r="143" spans="1:11">
      <c r="A143" s="2">
        <v>46331</v>
      </c>
      <c r="B143" s="2">
        <v>21</v>
      </c>
      <c r="C143" s="2" t="s">
        <v>137</v>
      </c>
      <c r="D143" s="2" t="s">
        <v>114</v>
      </c>
      <c r="E143" s="2"/>
      <c r="F143" s="2">
        <v>0</v>
      </c>
      <c r="G143" s="2" t="s">
        <v>40</v>
      </c>
      <c r="H143" s="2"/>
      <c r="I143" s="2"/>
      <c r="J143" s="2"/>
      <c r="K143" s="2">
        <f t="shared" si="4"/>
        <v>0</v>
      </c>
    </row>
    <row r="144" spans="1:11">
      <c r="A144" s="2">
        <v>46332</v>
      </c>
      <c r="B144" s="2">
        <v>21</v>
      </c>
      <c r="C144" s="2" t="s">
        <v>138</v>
      </c>
      <c r="D144" s="2" t="s">
        <v>114</v>
      </c>
      <c r="E144" s="2"/>
      <c r="F144" s="2">
        <v>0</v>
      </c>
      <c r="G144" s="2" t="s">
        <v>40</v>
      </c>
      <c r="H144" s="2"/>
      <c r="I144" s="2"/>
      <c r="J144" s="2"/>
      <c r="K144" s="2">
        <f t="shared" si="4"/>
        <v>0</v>
      </c>
    </row>
    <row r="145" spans="1:11">
      <c r="A145" s="2">
        <v>46333</v>
      </c>
      <c r="B145" s="2">
        <v>21</v>
      </c>
      <c r="C145" s="2" t="s">
        <v>139</v>
      </c>
      <c r="D145" s="2" t="s">
        <v>114</v>
      </c>
      <c r="E145" s="2"/>
      <c r="F145" s="2">
        <v>0</v>
      </c>
      <c r="G145" s="2" t="s">
        <v>40</v>
      </c>
      <c r="H145" s="2"/>
      <c r="I145" s="2"/>
      <c r="J145" s="2"/>
      <c r="K145" s="2">
        <f t="shared" si="4"/>
        <v>0</v>
      </c>
    </row>
    <row r="146" spans="1:11">
      <c r="A146" s="2">
        <v>46334</v>
      </c>
      <c r="B146" s="2">
        <v>21</v>
      </c>
      <c r="C146" s="2" t="s">
        <v>140</v>
      </c>
      <c r="D146" s="2" t="s">
        <v>114</v>
      </c>
      <c r="E146" s="2"/>
      <c r="F146" s="2">
        <v>0</v>
      </c>
      <c r="G146" s="2" t="s">
        <v>40</v>
      </c>
      <c r="H146" s="2"/>
      <c r="I146" s="2"/>
      <c r="J146" s="2"/>
      <c r="K146" s="2">
        <f t="shared" si="4"/>
        <v>0</v>
      </c>
    </row>
    <row r="147" spans="1:11">
      <c r="A147" s="2">
        <v>46335</v>
      </c>
      <c r="B147" s="2">
        <v>21</v>
      </c>
      <c r="C147" s="2" t="s">
        <v>141</v>
      </c>
      <c r="D147" s="2" t="s">
        <v>114</v>
      </c>
      <c r="E147" s="2"/>
      <c r="F147" s="2">
        <v>0</v>
      </c>
      <c r="G147" s="2" t="s">
        <v>40</v>
      </c>
      <c r="H147" s="2"/>
      <c r="I147" s="2"/>
      <c r="J147" s="2"/>
      <c r="K147" s="2">
        <f t="shared" si="4"/>
        <v>0</v>
      </c>
    </row>
    <row r="148" spans="1:11">
      <c r="A148" s="2">
        <v>46336</v>
      </c>
      <c r="B148" s="2">
        <v>21</v>
      </c>
      <c r="C148" s="2" t="s">
        <v>142</v>
      </c>
      <c r="D148" s="2" t="s">
        <v>114</v>
      </c>
      <c r="E148" s="2"/>
      <c r="F148" s="2">
        <v>0</v>
      </c>
      <c r="G148" s="2" t="s">
        <v>40</v>
      </c>
      <c r="H148" s="2"/>
      <c r="I148" s="2"/>
      <c r="J148" s="2"/>
      <c r="K148" s="2">
        <f t="shared" si="4"/>
        <v>0</v>
      </c>
    </row>
    <row r="149" spans="1:11">
      <c r="A149" s="2">
        <v>46337</v>
      </c>
      <c r="B149" s="2">
        <v>22</v>
      </c>
      <c r="C149" s="2" t="s">
        <v>136</v>
      </c>
      <c r="D149" s="2" t="s">
        <v>118</v>
      </c>
      <c r="E149" s="2"/>
      <c r="F149" s="2">
        <v>0</v>
      </c>
      <c r="G149" s="2" t="s">
        <v>40</v>
      </c>
      <c r="H149" s="2"/>
      <c r="I149" s="2"/>
      <c r="J149" s="2"/>
      <c r="K149" s="2">
        <f t="shared" si="4"/>
        <v>0</v>
      </c>
    </row>
    <row r="150" spans="1:11">
      <c r="A150" s="2">
        <v>46338</v>
      </c>
      <c r="B150" s="2">
        <v>22</v>
      </c>
      <c r="C150" s="2" t="s">
        <v>137</v>
      </c>
      <c r="D150" s="2" t="s">
        <v>118</v>
      </c>
      <c r="E150" s="2"/>
      <c r="F150" s="2">
        <v>0</v>
      </c>
      <c r="G150" s="2" t="s">
        <v>40</v>
      </c>
      <c r="H150" s="2"/>
      <c r="I150" s="2"/>
      <c r="J150" s="2"/>
      <c r="K150" s="2">
        <f t="shared" si="4"/>
        <v>0</v>
      </c>
    </row>
    <row r="151" spans="1:11">
      <c r="A151" s="2">
        <v>46339</v>
      </c>
      <c r="B151" s="2">
        <v>22</v>
      </c>
      <c r="C151" s="2" t="s">
        <v>138</v>
      </c>
      <c r="D151" s="2" t="s">
        <v>118</v>
      </c>
      <c r="E151" s="2"/>
      <c r="F151" s="2">
        <v>0</v>
      </c>
      <c r="G151" s="2" t="s">
        <v>40</v>
      </c>
      <c r="H151" s="2"/>
      <c r="I151" s="2"/>
      <c r="J151" s="2"/>
      <c r="K151" s="2">
        <f t="shared" si="4"/>
        <v>0</v>
      </c>
    </row>
    <row r="152" spans="1:11">
      <c r="A152" s="2">
        <v>46340</v>
      </c>
      <c r="B152" s="2">
        <v>22</v>
      </c>
      <c r="C152" s="2" t="s">
        <v>139</v>
      </c>
      <c r="D152" s="2" t="s">
        <v>118</v>
      </c>
      <c r="E152" s="2"/>
      <c r="F152" s="2">
        <v>0</v>
      </c>
      <c r="G152" s="2" t="s">
        <v>40</v>
      </c>
      <c r="H152" s="2"/>
      <c r="I152" s="2"/>
      <c r="J152" s="2"/>
      <c r="K152" s="2">
        <f t="shared" si="4"/>
        <v>0</v>
      </c>
    </row>
    <row r="153" spans="1:11">
      <c r="A153" s="2">
        <v>46341</v>
      </c>
      <c r="B153" s="2">
        <v>22</v>
      </c>
      <c r="C153" s="2" t="s">
        <v>140</v>
      </c>
      <c r="D153" s="2" t="s">
        <v>118</v>
      </c>
      <c r="E153" s="2"/>
      <c r="F153" s="2">
        <v>0</v>
      </c>
      <c r="G153" s="2" t="s">
        <v>40</v>
      </c>
      <c r="H153" s="2"/>
      <c r="I153" s="2"/>
      <c r="J153" s="2"/>
      <c r="K153" s="2">
        <f t="shared" si="4"/>
        <v>0</v>
      </c>
    </row>
    <row r="154" spans="1:11">
      <c r="A154" s="2">
        <v>46342</v>
      </c>
      <c r="B154" s="2">
        <v>22</v>
      </c>
      <c r="C154" s="2" t="s">
        <v>141</v>
      </c>
      <c r="D154" s="2" t="s">
        <v>118</v>
      </c>
      <c r="E154" s="2"/>
      <c r="F154" s="2">
        <v>0</v>
      </c>
      <c r="G154" s="2" t="s">
        <v>40</v>
      </c>
      <c r="H154" s="2"/>
      <c r="I154" s="2"/>
      <c r="J154" s="2"/>
      <c r="K154" s="2">
        <f t="shared" si="4"/>
        <v>0</v>
      </c>
    </row>
    <row r="155" spans="1:11">
      <c r="A155" s="2">
        <v>46343</v>
      </c>
      <c r="B155" s="2">
        <v>22</v>
      </c>
      <c r="C155" s="2" t="s">
        <v>142</v>
      </c>
      <c r="D155" s="2" t="s">
        <v>118</v>
      </c>
      <c r="E155" s="2"/>
      <c r="F155" s="2">
        <v>0</v>
      </c>
      <c r="G155" s="2" t="s">
        <v>40</v>
      </c>
      <c r="H155" s="2"/>
      <c r="I155" s="2"/>
      <c r="J155" s="2"/>
      <c r="K155" s="2">
        <f t="shared" si="4"/>
        <v>0</v>
      </c>
    </row>
    <row r="156" spans="1:11">
      <c r="A156" s="2">
        <v>46344</v>
      </c>
      <c r="B156" s="2">
        <v>23</v>
      </c>
      <c r="C156" s="2" t="s">
        <v>136</v>
      </c>
      <c r="D156" s="2" t="s">
        <v>121</v>
      </c>
      <c r="E156" s="2"/>
      <c r="F156" s="2">
        <v>0</v>
      </c>
      <c r="G156" s="2" t="s">
        <v>40</v>
      </c>
      <c r="H156" s="2"/>
      <c r="I156" s="2"/>
      <c r="J156" s="2"/>
      <c r="K156" s="2">
        <f t="shared" si="4"/>
        <v>0</v>
      </c>
    </row>
    <row r="157" spans="1:11">
      <c r="A157" s="2">
        <v>46345</v>
      </c>
      <c r="B157" s="2">
        <v>23</v>
      </c>
      <c r="C157" s="2" t="s">
        <v>137</v>
      </c>
      <c r="D157" s="2" t="s">
        <v>121</v>
      </c>
      <c r="E157" s="2"/>
      <c r="F157" s="2">
        <v>0</v>
      </c>
      <c r="G157" s="2" t="s">
        <v>40</v>
      </c>
      <c r="H157" s="2"/>
      <c r="I157" s="2"/>
      <c r="J157" s="2"/>
      <c r="K157" s="2">
        <f t="shared" si="4"/>
        <v>0</v>
      </c>
    </row>
    <row r="158" spans="1:11">
      <c r="A158" s="2">
        <v>46346</v>
      </c>
      <c r="B158" s="2">
        <v>23</v>
      </c>
      <c r="C158" s="2" t="s">
        <v>138</v>
      </c>
      <c r="D158" s="2" t="s">
        <v>121</v>
      </c>
      <c r="E158" s="2"/>
      <c r="F158" s="2">
        <v>0</v>
      </c>
      <c r="G158" s="2" t="s">
        <v>40</v>
      </c>
      <c r="H158" s="2"/>
      <c r="I158" s="2"/>
      <c r="J158" s="2"/>
      <c r="K158" s="2">
        <f t="shared" si="4"/>
        <v>0</v>
      </c>
    </row>
    <row r="159" spans="1:11">
      <c r="A159" s="2">
        <v>46347</v>
      </c>
      <c r="B159" s="2">
        <v>23</v>
      </c>
      <c r="C159" s="2" t="s">
        <v>139</v>
      </c>
      <c r="D159" s="2" t="s">
        <v>121</v>
      </c>
      <c r="E159" s="2"/>
      <c r="F159" s="2">
        <v>0</v>
      </c>
      <c r="G159" s="2" t="s">
        <v>40</v>
      </c>
      <c r="H159" s="2"/>
      <c r="I159" s="2"/>
      <c r="J159" s="2"/>
      <c r="K159" s="2">
        <f t="shared" si="4"/>
        <v>0</v>
      </c>
    </row>
    <row r="160" spans="1:11">
      <c r="A160" s="2">
        <v>46348</v>
      </c>
      <c r="B160" s="2">
        <v>23</v>
      </c>
      <c r="C160" s="2" t="s">
        <v>140</v>
      </c>
      <c r="D160" s="2" t="s">
        <v>121</v>
      </c>
      <c r="E160" s="2"/>
      <c r="F160" s="2">
        <v>0</v>
      </c>
      <c r="G160" s="2" t="s">
        <v>40</v>
      </c>
      <c r="H160" s="2"/>
      <c r="I160" s="2"/>
      <c r="J160" s="2"/>
      <c r="K160" s="2">
        <f t="shared" si="4"/>
        <v>0</v>
      </c>
    </row>
    <row r="161" spans="1:11">
      <c r="A161" s="2">
        <v>46349</v>
      </c>
      <c r="B161" s="2">
        <v>23</v>
      </c>
      <c r="C161" s="2" t="s">
        <v>141</v>
      </c>
      <c r="D161" s="2" t="s">
        <v>121</v>
      </c>
      <c r="E161" s="2"/>
      <c r="F161" s="2">
        <v>0</v>
      </c>
      <c r="G161" s="2" t="s">
        <v>40</v>
      </c>
      <c r="H161" s="2"/>
      <c r="I161" s="2"/>
      <c r="J161" s="2"/>
      <c r="K161" s="2">
        <f t="shared" si="4"/>
        <v>0</v>
      </c>
    </row>
    <row r="162" spans="1:11">
      <c r="A162" s="2">
        <v>46350</v>
      </c>
      <c r="B162" s="2">
        <v>23</v>
      </c>
      <c r="C162" s="2" t="s">
        <v>142</v>
      </c>
      <c r="D162" s="2" t="s">
        <v>121</v>
      </c>
      <c r="E162" s="2"/>
      <c r="F162" s="2">
        <v>0</v>
      </c>
      <c r="G162" s="2" t="s">
        <v>40</v>
      </c>
      <c r="H162" s="2"/>
      <c r="I162" s="2"/>
      <c r="J162" s="2"/>
      <c r="K162" s="2">
        <f t="shared" ref="K162:K181" si="5">IF(G162="تم",3,IF(G162="قيد التنفيذ",2,IF(G162="محجوب",1,IF(G162="متوقف",0,0))))</f>
        <v>0</v>
      </c>
    </row>
    <row r="163" spans="1:11">
      <c r="A163" s="2">
        <v>46351</v>
      </c>
      <c r="B163" s="2">
        <v>24</v>
      </c>
      <c r="C163" s="2" t="s">
        <v>136</v>
      </c>
      <c r="D163" s="2" t="s">
        <v>124</v>
      </c>
      <c r="E163" s="2"/>
      <c r="F163" s="2">
        <v>0</v>
      </c>
      <c r="G163" s="2" t="s">
        <v>40</v>
      </c>
      <c r="H163" s="2"/>
      <c r="I163" s="2"/>
      <c r="J163" s="2"/>
      <c r="K163" s="2">
        <f t="shared" si="5"/>
        <v>0</v>
      </c>
    </row>
    <row r="164" spans="1:11">
      <c r="A164" s="2">
        <v>46352</v>
      </c>
      <c r="B164" s="2">
        <v>24</v>
      </c>
      <c r="C164" s="2" t="s">
        <v>137</v>
      </c>
      <c r="D164" s="2" t="s">
        <v>124</v>
      </c>
      <c r="E164" s="2"/>
      <c r="F164" s="2">
        <v>0</v>
      </c>
      <c r="G164" s="2" t="s">
        <v>40</v>
      </c>
      <c r="H164" s="2"/>
      <c r="I164" s="2"/>
      <c r="J164" s="2"/>
      <c r="K164" s="2">
        <f t="shared" si="5"/>
        <v>0</v>
      </c>
    </row>
    <row r="165" spans="1:11">
      <c r="A165" s="2">
        <v>46353</v>
      </c>
      <c r="B165" s="2">
        <v>24</v>
      </c>
      <c r="C165" s="2" t="s">
        <v>138</v>
      </c>
      <c r="D165" s="2" t="s">
        <v>124</v>
      </c>
      <c r="E165" s="2"/>
      <c r="F165" s="2">
        <v>0</v>
      </c>
      <c r="G165" s="2" t="s">
        <v>40</v>
      </c>
      <c r="H165" s="2"/>
      <c r="I165" s="2"/>
      <c r="J165" s="2"/>
      <c r="K165" s="2">
        <f t="shared" si="5"/>
        <v>0</v>
      </c>
    </row>
    <row r="166" spans="1:11">
      <c r="A166" s="2">
        <v>46354</v>
      </c>
      <c r="B166" s="2">
        <v>24</v>
      </c>
      <c r="C166" s="2" t="s">
        <v>139</v>
      </c>
      <c r="D166" s="2" t="s">
        <v>124</v>
      </c>
      <c r="E166" s="2"/>
      <c r="F166" s="2">
        <v>0</v>
      </c>
      <c r="G166" s="2" t="s">
        <v>40</v>
      </c>
      <c r="H166" s="2"/>
      <c r="I166" s="2"/>
      <c r="J166" s="2"/>
      <c r="K166" s="2">
        <f t="shared" si="5"/>
        <v>0</v>
      </c>
    </row>
    <row r="167" spans="1:11">
      <c r="A167" s="2">
        <v>46355</v>
      </c>
      <c r="B167" s="2">
        <v>24</v>
      </c>
      <c r="C167" s="2" t="s">
        <v>140</v>
      </c>
      <c r="D167" s="2" t="s">
        <v>124</v>
      </c>
      <c r="E167" s="2"/>
      <c r="F167" s="2">
        <v>0</v>
      </c>
      <c r="G167" s="2" t="s">
        <v>40</v>
      </c>
      <c r="H167" s="2"/>
      <c r="I167" s="2"/>
      <c r="J167" s="2"/>
      <c r="K167" s="2">
        <f t="shared" si="5"/>
        <v>0</v>
      </c>
    </row>
    <row r="168" spans="1:11">
      <c r="A168" s="2">
        <v>46356</v>
      </c>
      <c r="B168" s="2">
        <v>24</v>
      </c>
      <c r="C168" s="2" t="s">
        <v>141</v>
      </c>
      <c r="D168" s="2" t="s">
        <v>124</v>
      </c>
      <c r="E168" s="2"/>
      <c r="F168" s="2">
        <v>0</v>
      </c>
      <c r="G168" s="2" t="s">
        <v>40</v>
      </c>
      <c r="H168" s="2"/>
      <c r="I168" s="2"/>
      <c r="J168" s="2"/>
      <c r="K168" s="2">
        <f t="shared" si="5"/>
        <v>0</v>
      </c>
    </row>
    <row r="169" spans="1:11">
      <c r="A169" s="2">
        <v>46357</v>
      </c>
      <c r="B169" s="2">
        <v>24</v>
      </c>
      <c r="C169" s="2" t="s">
        <v>142</v>
      </c>
      <c r="D169" s="2" t="s">
        <v>124</v>
      </c>
      <c r="E169" s="2"/>
      <c r="F169" s="2">
        <v>0</v>
      </c>
      <c r="G169" s="2" t="s">
        <v>40</v>
      </c>
      <c r="H169" s="2"/>
      <c r="I169" s="2"/>
      <c r="J169" s="2"/>
      <c r="K169" s="2">
        <f t="shared" si="5"/>
        <v>0</v>
      </c>
    </row>
    <row r="170" spans="1:11">
      <c r="A170" s="2">
        <v>46358</v>
      </c>
      <c r="B170" s="2">
        <v>25</v>
      </c>
      <c r="C170" s="2" t="s">
        <v>136</v>
      </c>
      <c r="D170" s="2" t="s">
        <v>124</v>
      </c>
      <c r="E170" s="2"/>
      <c r="F170" s="2">
        <v>0</v>
      </c>
      <c r="G170" s="2" t="s">
        <v>40</v>
      </c>
      <c r="H170" s="2"/>
      <c r="I170" s="2"/>
      <c r="J170" s="2"/>
      <c r="K170" s="2">
        <f t="shared" si="5"/>
        <v>0</v>
      </c>
    </row>
    <row r="171" spans="1:11">
      <c r="A171" s="2">
        <v>46359</v>
      </c>
      <c r="B171" s="2">
        <v>25</v>
      </c>
      <c r="C171" s="2" t="s">
        <v>137</v>
      </c>
      <c r="D171" s="2" t="s">
        <v>124</v>
      </c>
      <c r="E171" s="2"/>
      <c r="F171" s="2">
        <v>0</v>
      </c>
      <c r="G171" s="2" t="s">
        <v>40</v>
      </c>
      <c r="H171" s="2"/>
      <c r="I171" s="2"/>
      <c r="J171" s="2"/>
      <c r="K171" s="2">
        <f t="shared" si="5"/>
        <v>0</v>
      </c>
    </row>
    <row r="172" spans="1:11">
      <c r="A172" s="2">
        <v>46360</v>
      </c>
      <c r="B172" s="2">
        <v>25</v>
      </c>
      <c r="C172" s="2" t="s">
        <v>138</v>
      </c>
      <c r="D172" s="2" t="s">
        <v>124</v>
      </c>
      <c r="E172" s="2"/>
      <c r="F172" s="2">
        <v>0</v>
      </c>
      <c r="G172" s="2" t="s">
        <v>40</v>
      </c>
      <c r="H172" s="2"/>
      <c r="I172" s="2"/>
      <c r="J172" s="2"/>
      <c r="K172" s="2">
        <f t="shared" si="5"/>
        <v>0</v>
      </c>
    </row>
    <row r="173" spans="1:11">
      <c r="A173" s="2">
        <v>46361</v>
      </c>
      <c r="B173" s="2">
        <v>25</v>
      </c>
      <c r="C173" s="2" t="s">
        <v>139</v>
      </c>
      <c r="D173" s="2" t="s">
        <v>124</v>
      </c>
      <c r="E173" s="2"/>
      <c r="F173" s="2">
        <v>0</v>
      </c>
      <c r="G173" s="2" t="s">
        <v>40</v>
      </c>
      <c r="H173" s="2"/>
      <c r="I173" s="2"/>
      <c r="J173" s="2"/>
      <c r="K173" s="2">
        <f t="shared" si="5"/>
        <v>0</v>
      </c>
    </row>
    <row r="174" spans="1:11">
      <c r="A174" s="2">
        <v>46362</v>
      </c>
      <c r="B174" s="2">
        <v>25</v>
      </c>
      <c r="C174" s="2" t="s">
        <v>140</v>
      </c>
      <c r="D174" s="2" t="s">
        <v>124</v>
      </c>
      <c r="E174" s="2"/>
      <c r="F174" s="2">
        <v>0</v>
      </c>
      <c r="G174" s="2" t="s">
        <v>40</v>
      </c>
      <c r="H174" s="2"/>
      <c r="I174" s="2"/>
      <c r="J174" s="2"/>
      <c r="K174" s="2">
        <f t="shared" si="5"/>
        <v>0</v>
      </c>
    </row>
    <row r="175" spans="1:11">
      <c r="A175" s="2">
        <v>46363</v>
      </c>
      <c r="B175" s="2">
        <v>25</v>
      </c>
      <c r="C175" s="2" t="s">
        <v>141</v>
      </c>
      <c r="D175" s="2" t="s">
        <v>124</v>
      </c>
      <c r="E175" s="2"/>
      <c r="F175" s="2">
        <v>0</v>
      </c>
      <c r="G175" s="2" t="s">
        <v>40</v>
      </c>
      <c r="H175" s="2"/>
      <c r="I175" s="2"/>
      <c r="J175" s="2"/>
      <c r="K175" s="2">
        <f t="shared" si="5"/>
        <v>0</v>
      </c>
    </row>
    <row r="176" spans="1:11">
      <c r="A176" s="2">
        <v>46364</v>
      </c>
      <c r="B176" s="2">
        <v>25</v>
      </c>
      <c r="C176" s="2" t="s">
        <v>142</v>
      </c>
      <c r="D176" s="2" t="s">
        <v>124</v>
      </c>
      <c r="E176" s="2"/>
      <c r="F176" s="2">
        <v>0</v>
      </c>
      <c r="G176" s="2" t="s">
        <v>40</v>
      </c>
      <c r="H176" s="2"/>
      <c r="I176" s="2"/>
      <c r="J176" s="2"/>
      <c r="K176" s="2">
        <f t="shared" si="5"/>
        <v>0</v>
      </c>
    </row>
    <row r="177" spans="1:11">
      <c r="A177" s="2">
        <v>46365</v>
      </c>
      <c r="B177" s="2">
        <v>26</v>
      </c>
      <c r="C177" s="2" t="s">
        <v>136</v>
      </c>
      <c r="D177" s="2" t="s">
        <v>124</v>
      </c>
      <c r="E177" s="2"/>
      <c r="F177" s="2">
        <v>0</v>
      </c>
      <c r="G177" s="2" t="s">
        <v>40</v>
      </c>
      <c r="H177" s="2"/>
      <c r="I177" s="2"/>
      <c r="J177" s="2"/>
      <c r="K177" s="2">
        <f t="shared" si="5"/>
        <v>0</v>
      </c>
    </row>
    <row r="178" spans="1:11">
      <c r="A178" s="2">
        <v>46366</v>
      </c>
      <c r="B178" s="2">
        <v>26</v>
      </c>
      <c r="C178" s="2" t="s">
        <v>137</v>
      </c>
      <c r="D178" s="2" t="s">
        <v>124</v>
      </c>
      <c r="E178" s="2"/>
      <c r="F178" s="2">
        <v>0</v>
      </c>
      <c r="G178" s="2" t="s">
        <v>40</v>
      </c>
      <c r="H178" s="2"/>
      <c r="I178" s="2"/>
      <c r="J178" s="2"/>
      <c r="K178" s="2">
        <f t="shared" si="5"/>
        <v>0</v>
      </c>
    </row>
    <row r="179" spans="1:11">
      <c r="A179" s="2">
        <v>46367</v>
      </c>
      <c r="B179" s="2">
        <v>26</v>
      </c>
      <c r="C179" s="2" t="s">
        <v>138</v>
      </c>
      <c r="D179" s="2" t="s">
        <v>124</v>
      </c>
      <c r="E179" s="2"/>
      <c r="F179" s="2">
        <v>0</v>
      </c>
      <c r="G179" s="2" t="s">
        <v>40</v>
      </c>
      <c r="H179" s="2"/>
      <c r="I179" s="2"/>
      <c r="J179" s="2"/>
      <c r="K179" s="2">
        <f t="shared" si="5"/>
        <v>0</v>
      </c>
    </row>
    <row r="180" spans="1:11">
      <c r="A180" s="2">
        <v>46368</v>
      </c>
      <c r="B180" s="2">
        <v>26</v>
      </c>
      <c r="C180" s="2" t="s">
        <v>139</v>
      </c>
      <c r="D180" s="2" t="s">
        <v>124</v>
      </c>
      <c r="E180" s="2"/>
      <c r="F180" s="2">
        <v>0</v>
      </c>
      <c r="G180" s="2" t="s">
        <v>40</v>
      </c>
      <c r="H180" s="2"/>
      <c r="I180" s="2"/>
      <c r="J180" s="2"/>
      <c r="K180" s="2">
        <f t="shared" si="5"/>
        <v>0</v>
      </c>
    </row>
    <row r="181" spans="1:11">
      <c r="A181" s="2">
        <v>46369</v>
      </c>
      <c r="B181" s="2">
        <v>26</v>
      </c>
      <c r="C181" s="2" t="s">
        <v>140</v>
      </c>
      <c r="D181" s="2" t="s">
        <v>124</v>
      </c>
      <c r="E181" s="2"/>
      <c r="F181" s="2">
        <v>0</v>
      </c>
      <c r="G181" s="2" t="s">
        <v>40</v>
      </c>
      <c r="H181" s="2"/>
      <c r="I181" s="2"/>
      <c r="J181" s="2"/>
      <c r="K181" s="2">
        <f t="shared" si="5"/>
        <v>0</v>
      </c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conditionalFormatting sqref="G2:G181">
    <cfRule type="expression" dxfId="2" priority="1">
      <formula>G2="تم"</formula>
    </cfRule>
    <cfRule type="expression" dxfId="1" priority="2">
      <formula>G2="متوقف"</formula>
    </cfRule>
    <cfRule type="expression" dxfId="0" priority="3">
      <formula>G2="محجوب"</formula>
    </cfRule>
  </conditionalFormatting>
  <conditionalFormatting sqref="K2:K181">
    <cfRule type="dataBar" priority="4">
      <dataBar>
        <cfvo type="min"/>
        <cfvo type="max"/>
        <color rgb="FF1F4E79"/>
      </dataBar>
    </cfRule>
  </conditionalFormatting>
  <conditionalFormatting sqref="K2:K181">
    <cfRule type="dataBar" priority="5">
      <dataBar>
        <cfvo type="min"/>
        <cfvo type="max"/>
        <color rgb="FF1F4E79"/>
      </dataBar>
      <extLst>
        <ext xmlns:x14="http://schemas.microsoft.com/office/spreadsheetml/2009/9/main" uri="{B025F937-C7B1-47D3-B67F-A62EFF666E3E}">
          <x14:id>{EA517335-9BC4-CE2A-168E-239E37C82A98}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517335-9BC4-CE2A-168E-239E37C82A98}">
            <x14:dataBar>
              <x14:cfvo type="min"/>
              <x14:cfvo type="max"/>
              <x14:negativeFillColor auto="1"/>
              <x14:axisColor auto="1"/>
            </x14:dataBar>
          </x14:cfRule>
          <xm:sqref>K2:K181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Lists!$A$2:$A$6</xm:f>
          </x14:formula1>
          <xm:sqref>G2:G181</xm:sqref>
        </x14:dataValidation>
        <x14:dataValidation type="list" xr:uid="{00000000-0002-0000-0200-000001000000}">
          <x14:formula1>
            <xm:f>Lists!$C$2:$C$5</xm:f>
          </x14:formula1>
          <xm:sqref>H2:H181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rightToLeft="1" workbookViewId="0"/>
  </sheetViews>
  <sheetFormatPr defaultRowHeight="13.8"/>
  <cols>
    <col min="1" max="1" width="8" customWidth="1"/>
    <col min="2" max="2" width="28" customWidth="1"/>
    <col min="3" max="3" width="14" customWidth="1"/>
    <col min="4" max="4" width="36" customWidth="1"/>
    <col min="5" max="6" width="56" customWidth="1"/>
  </cols>
  <sheetData>
    <row r="1" spans="1:11" ht="24" customHeight="1">
      <c r="A1" s="1" t="s">
        <v>27</v>
      </c>
      <c r="B1" s="1" t="s">
        <v>28</v>
      </c>
      <c r="C1" s="1" t="s">
        <v>143</v>
      </c>
      <c r="D1" s="1" t="s">
        <v>144</v>
      </c>
      <c r="E1" s="1" t="s">
        <v>145</v>
      </c>
      <c r="F1" s="1" t="s">
        <v>146</v>
      </c>
      <c r="G1" s="2"/>
      <c r="H1" s="2"/>
      <c r="I1" s="2"/>
      <c r="J1" s="2"/>
      <c r="K1" s="2"/>
    </row>
    <row r="2" spans="1:11">
      <c r="A2" s="2">
        <v>0</v>
      </c>
      <c r="B2" s="2" t="s">
        <v>147</v>
      </c>
      <c r="C2" s="2" t="s">
        <v>148</v>
      </c>
      <c r="D2" s="2" t="s">
        <v>149</v>
      </c>
      <c r="E2" s="2" t="s">
        <v>150</v>
      </c>
      <c r="F2" s="2" t="s">
        <v>151</v>
      </c>
      <c r="G2" s="2"/>
      <c r="H2" s="2"/>
      <c r="I2" s="2"/>
      <c r="J2" s="2"/>
      <c r="K2" s="2"/>
    </row>
    <row r="3" spans="1:11">
      <c r="A3" s="2">
        <v>1</v>
      </c>
      <c r="B3" s="2" t="s">
        <v>41</v>
      </c>
      <c r="C3" s="2" t="s">
        <v>152</v>
      </c>
      <c r="D3" s="2" t="s">
        <v>153</v>
      </c>
      <c r="E3" s="2" t="s">
        <v>154</v>
      </c>
      <c r="F3" s="2" t="s">
        <v>155</v>
      </c>
      <c r="G3" s="2"/>
      <c r="H3" s="2"/>
      <c r="I3" s="2"/>
      <c r="J3" s="2"/>
      <c r="K3" s="2"/>
    </row>
    <row r="4" spans="1:11">
      <c r="A4" s="2">
        <v>2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160</v>
      </c>
      <c r="G4" s="2"/>
      <c r="H4" s="2"/>
      <c r="I4" s="2"/>
      <c r="J4" s="2"/>
      <c r="K4" s="2"/>
    </row>
    <row r="5" spans="1:11">
      <c r="A5" s="2">
        <v>3</v>
      </c>
      <c r="B5" s="2" t="s">
        <v>161</v>
      </c>
      <c r="C5" s="2" t="s">
        <v>152</v>
      </c>
      <c r="D5" s="2" t="s">
        <v>162</v>
      </c>
      <c r="E5" s="2" t="s">
        <v>163</v>
      </c>
      <c r="F5" s="2" t="s">
        <v>164</v>
      </c>
      <c r="G5" s="2"/>
      <c r="H5" s="2"/>
      <c r="I5" s="2"/>
      <c r="J5" s="2"/>
      <c r="K5" s="2"/>
    </row>
    <row r="6" spans="1:11">
      <c r="A6" s="2">
        <v>4</v>
      </c>
      <c r="B6" s="2" t="s">
        <v>165</v>
      </c>
      <c r="C6" s="2" t="s">
        <v>152</v>
      </c>
      <c r="D6" s="2" t="s">
        <v>166</v>
      </c>
      <c r="E6" s="2" t="s">
        <v>167</v>
      </c>
      <c r="F6" s="2" t="s">
        <v>168</v>
      </c>
      <c r="G6" s="2"/>
      <c r="H6" s="2"/>
      <c r="I6" s="2"/>
      <c r="J6" s="2"/>
      <c r="K6" s="2"/>
    </row>
    <row r="7" spans="1:11">
      <c r="A7" s="2">
        <v>5</v>
      </c>
      <c r="B7" s="2" t="s">
        <v>169</v>
      </c>
      <c r="C7" s="2" t="s">
        <v>148</v>
      </c>
      <c r="D7" s="2" t="s">
        <v>170</v>
      </c>
      <c r="E7" s="2" t="s">
        <v>171</v>
      </c>
      <c r="F7" s="2" t="s">
        <v>172</v>
      </c>
      <c r="G7" s="2"/>
      <c r="H7" s="2"/>
      <c r="I7" s="2"/>
      <c r="J7" s="2"/>
      <c r="K7" s="2"/>
    </row>
    <row r="8" spans="1:11">
      <c r="A8" s="2">
        <v>6</v>
      </c>
      <c r="B8" s="2" t="s">
        <v>70</v>
      </c>
      <c r="C8" s="2" t="s">
        <v>157</v>
      </c>
      <c r="D8" s="2" t="s">
        <v>173</v>
      </c>
      <c r="E8" s="2" t="s">
        <v>174</v>
      </c>
      <c r="F8" s="2" t="s">
        <v>175</v>
      </c>
      <c r="G8" s="2"/>
      <c r="H8" s="2"/>
      <c r="I8" s="2"/>
      <c r="J8" s="2"/>
      <c r="K8" s="2"/>
    </row>
    <row r="9" spans="1:11">
      <c r="A9" s="2">
        <v>7</v>
      </c>
      <c r="B9" s="2" t="s">
        <v>176</v>
      </c>
      <c r="C9" s="2" t="s">
        <v>152</v>
      </c>
      <c r="D9" s="2" t="s">
        <v>177</v>
      </c>
      <c r="E9" s="2" t="s">
        <v>178</v>
      </c>
      <c r="F9" s="2" t="s">
        <v>179</v>
      </c>
      <c r="G9" s="2"/>
      <c r="H9" s="2"/>
      <c r="I9" s="2"/>
      <c r="J9" s="2"/>
      <c r="K9" s="2"/>
    </row>
    <row r="10" spans="1:11">
      <c r="A10" s="2">
        <v>8</v>
      </c>
      <c r="B10" s="2" t="s">
        <v>82</v>
      </c>
      <c r="C10" s="2" t="s">
        <v>157</v>
      </c>
      <c r="D10" s="2" t="s">
        <v>180</v>
      </c>
      <c r="E10" s="2" t="s">
        <v>181</v>
      </c>
      <c r="F10" s="2" t="s">
        <v>182</v>
      </c>
      <c r="G10" s="2"/>
      <c r="H10" s="2"/>
      <c r="I10" s="2"/>
      <c r="J10" s="2"/>
      <c r="K10" s="2"/>
    </row>
    <row r="11" spans="1:11">
      <c r="A11" s="2">
        <v>9</v>
      </c>
      <c r="B11" s="2" t="s">
        <v>183</v>
      </c>
      <c r="C11" s="2" t="s">
        <v>184</v>
      </c>
      <c r="D11" s="2" t="s">
        <v>185</v>
      </c>
      <c r="E11" s="2" t="s">
        <v>186</v>
      </c>
      <c r="F11" s="2" t="s">
        <v>187</v>
      </c>
      <c r="G11" s="2"/>
      <c r="H11" s="2"/>
      <c r="I11" s="2"/>
      <c r="J11" s="2"/>
      <c r="K11" s="2"/>
    </row>
    <row r="12" spans="1:11">
      <c r="A12" s="2">
        <v>10</v>
      </c>
      <c r="B12" s="2" t="s">
        <v>98</v>
      </c>
      <c r="C12" s="2" t="s">
        <v>152</v>
      </c>
      <c r="D12" s="2" t="s">
        <v>188</v>
      </c>
      <c r="E12" s="2" t="s">
        <v>189</v>
      </c>
      <c r="F12" s="2" t="s">
        <v>190</v>
      </c>
      <c r="G12" s="2"/>
      <c r="H12" s="2"/>
      <c r="I12" s="2"/>
      <c r="J12" s="2"/>
      <c r="K12" s="2"/>
    </row>
    <row r="13" spans="1:11">
      <c r="A13" s="2">
        <v>11</v>
      </c>
      <c r="B13" s="2" t="s">
        <v>105</v>
      </c>
      <c r="C13" s="2" t="s">
        <v>157</v>
      </c>
      <c r="D13" s="2" t="s">
        <v>191</v>
      </c>
      <c r="E13" s="2" t="s">
        <v>192</v>
      </c>
      <c r="F13" s="2" t="s">
        <v>193</v>
      </c>
      <c r="G13" s="2"/>
      <c r="H13" s="2"/>
      <c r="I13" s="2"/>
      <c r="J13" s="2"/>
      <c r="K13" s="2"/>
    </row>
    <row r="14" spans="1:11">
      <c r="A14" s="2">
        <v>12</v>
      </c>
      <c r="B14" s="2" t="s">
        <v>109</v>
      </c>
      <c r="C14" s="2" t="s">
        <v>157</v>
      </c>
      <c r="D14" s="2" t="s">
        <v>194</v>
      </c>
      <c r="E14" s="2" t="s">
        <v>195</v>
      </c>
      <c r="F14" s="2" t="s">
        <v>196</v>
      </c>
      <c r="G14" s="2"/>
      <c r="H14" s="2"/>
      <c r="I14" s="2"/>
      <c r="J14" s="2"/>
      <c r="K14" s="2"/>
    </row>
    <row r="15" spans="1:11">
      <c r="A15" s="2">
        <v>13</v>
      </c>
      <c r="B15" s="2" t="s">
        <v>197</v>
      </c>
      <c r="C15" s="2" t="s">
        <v>198</v>
      </c>
      <c r="D15" s="2" t="s">
        <v>199</v>
      </c>
      <c r="E15" s="2" t="s">
        <v>200</v>
      </c>
      <c r="F15" s="2" t="s">
        <v>201</v>
      </c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rightToLeft="1" workbookViewId="0"/>
  </sheetViews>
  <sheetFormatPr defaultRowHeight="13.8"/>
  <cols>
    <col min="1" max="1" width="8" customWidth="1"/>
    <col min="2" max="3" width="38" customWidth="1"/>
    <col min="4" max="5" width="15" customWidth="1"/>
    <col min="6" max="6" width="32" customWidth="1"/>
    <col min="7" max="7" width="38" customWidth="1"/>
    <col min="8" max="8" width="18" customWidth="1"/>
  </cols>
  <sheetData>
    <row r="1" spans="1:11" ht="24" customHeight="1">
      <c r="A1" s="1" t="s">
        <v>26</v>
      </c>
      <c r="B1" s="1" t="s">
        <v>202</v>
      </c>
      <c r="C1" s="1" t="s">
        <v>203</v>
      </c>
      <c r="D1" s="1" t="s">
        <v>204</v>
      </c>
      <c r="E1" s="1" t="s">
        <v>10</v>
      </c>
      <c r="F1" s="1" t="s">
        <v>205</v>
      </c>
      <c r="G1" s="1" t="s">
        <v>206</v>
      </c>
      <c r="H1" s="1" t="s">
        <v>207</v>
      </c>
      <c r="I1" s="2"/>
      <c r="J1" s="2"/>
      <c r="K1" s="2"/>
    </row>
    <row r="2" spans="1:11">
      <c r="A2" s="2">
        <v>1</v>
      </c>
      <c r="B2" s="2" t="s">
        <v>38</v>
      </c>
      <c r="C2" s="2"/>
      <c r="D2" s="2">
        <f>COUNTIFS(Daily_Tracker!$B:$B,A2,Daily_Tracker!$G:$G,"تم")</f>
        <v>0</v>
      </c>
      <c r="E2" s="2">
        <f>SUMIFS(Daily_Tracker!$F:$F,Daily_Tracker!$B:$B,A2)</f>
        <v>0</v>
      </c>
      <c r="F2" s="2"/>
      <c r="G2" s="2"/>
      <c r="H2" s="2"/>
      <c r="I2" s="2"/>
      <c r="J2" s="2"/>
      <c r="K2" s="2"/>
    </row>
    <row r="3" spans="1:11">
      <c r="A3" s="2">
        <v>2</v>
      </c>
      <c r="B3" s="2" t="s">
        <v>44</v>
      </c>
      <c r="C3" s="2"/>
      <c r="D3" s="2">
        <f>COUNTIFS(Daily_Tracker!$B:$B,A3,Daily_Tracker!$G:$G,"تم")</f>
        <v>0</v>
      </c>
      <c r="E3" s="2">
        <f>SUMIFS(Daily_Tracker!$F:$F,Daily_Tracker!$B:$B,A3)</f>
        <v>0</v>
      </c>
      <c r="F3" s="2"/>
      <c r="G3" s="2"/>
      <c r="H3" s="2"/>
      <c r="I3" s="2"/>
      <c r="J3" s="2"/>
      <c r="K3" s="2"/>
    </row>
    <row r="4" spans="1:11">
      <c r="A4" s="2">
        <v>3</v>
      </c>
      <c r="B4" s="2" t="s">
        <v>47</v>
      </c>
      <c r="C4" s="2"/>
      <c r="D4" s="2">
        <f>COUNTIFS(Daily_Tracker!$B:$B,A4,Daily_Tracker!$G:$G,"تم")</f>
        <v>0</v>
      </c>
      <c r="E4" s="2">
        <f>SUMIFS(Daily_Tracker!$F:$F,Daily_Tracker!$B:$B,A4)</f>
        <v>0</v>
      </c>
      <c r="F4" s="2"/>
      <c r="G4" s="2"/>
      <c r="H4" s="2"/>
      <c r="I4" s="2"/>
      <c r="J4" s="2"/>
      <c r="K4" s="2"/>
    </row>
    <row r="5" spans="1:11">
      <c r="A5" s="2">
        <v>4</v>
      </c>
      <c r="B5" s="2" t="s">
        <v>51</v>
      </c>
      <c r="C5" s="2"/>
      <c r="D5" s="2">
        <f>COUNTIFS(Daily_Tracker!$B:$B,A5,Daily_Tracker!$G:$G,"تم")</f>
        <v>0</v>
      </c>
      <c r="E5" s="2">
        <f>SUMIFS(Daily_Tracker!$F:$F,Daily_Tracker!$B:$B,A5)</f>
        <v>0</v>
      </c>
      <c r="F5" s="2"/>
      <c r="G5" s="2"/>
      <c r="H5" s="2"/>
      <c r="I5" s="2"/>
      <c r="J5" s="2"/>
      <c r="K5" s="2"/>
    </row>
    <row r="6" spans="1:11">
      <c r="A6" s="2">
        <v>5</v>
      </c>
      <c r="B6" s="2" t="s">
        <v>55</v>
      </c>
      <c r="C6" s="2"/>
      <c r="D6" s="2">
        <f>COUNTIFS(Daily_Tracker!$B:$B,A6,Daily_Tracker!$G:$G,"تم")</f>
        <v>0</v>
      </c>
      <c r="E6" s="2">
        <f>SUMIFS(Daily_Tracker!$F:$F,Daily_Tracker!$B:$B,A6)</f>
        <v>0</v>
      </c>
      <c r="F6" s="2"/>
      <c r="G6" s="2"/>
      <c r="H6" s="2"/>
      <c r="I6" s="2"/>
      <c r="J6" s="2"/>
      <c r="K6" s="2"/>
    </row>
    <row r="7" spans="1:11">
      <c r="A7" s="2">
        <v>6</v>
      </c>
      <c r="B7" s="2" t="s">
        <v>58</v>
      </c>
      <c r="C7" s="2"/>
      <c r="D7" s="2">
        <f>COUNTIFS(Daily_Tracker!$B:$B,A7,Daily_Tracker!$G:$G,"تم")</f>
        <v>0</v>
      </c>
      <c r="E7" s="2">
        <f>SUMIFS(Daily_Tracker!$F:$F,Daily_Tracker!$B:$B,A7)</f>
        <v>0</v>
      </c>
      <c r="F7" s="2"/>
      <c r="G7" s="2"/>
      <c r="H7" s="2"/>
      <c r="I7" s="2"/>
      <c r="J7" s="2"/>
      <c r="K7" s="2"/>
    </row>
    <row r="8" spans="1:11">
      <c r="A8" s="2">
        <v>7</v>
      </c>
      <c r="B8" s="2" t="s">
        <v>62</v>
      </c>
      <c r="C8" s="2"/>
      <c r="D8" s="2">
        <f>COUNTIFS(Daily_Tracker!$B:$B,A8,Daily_Tracker!$G:$G,"تم")</f>
        <v>0</v>
      </c>
      <c r="E8" s="2">
        <f>SUMIFS(Daily_Tracker!$F:$F,Daily_Tracker!$B:$B,A8)</f>
        <v>0</v>
      </c>
      <c r="F8" s="2"/>
      <c r="G8" s="2"/>
      <c r="H8" s="2"/>
      <c r="I8" s="2"/>
      <c r="J8" s="2"/>
      <c r="K8" s="2"/>
    </row>
    <row r="9" spans="1:11">
      <c r="A9" s="2">
        <v>8</v>
      </c>
      <c r="B9" s="2" t="s">
        <v>65</v>
      </c>
      <c r="C9" s="2"/>
      <c r="D9" s="2">
        <f>COUNTIFS(Daily_Tracker!$B:$B,A9,Daily_Tracker!$G:$G,"تم")</f>
        <v>0</v>
      </c>
      <c r="E9" s="2">
        <f>SUMIFS(Daily_Tracker!$F:$F,Daily_Tracker!$B:$B,A9)</f>
        <v>0</v>
      </c>
      <c r="F9" s="2"/>
      <c r="G9" s="2"/>
      <c r="H9" s="2"/>
      <c r="I9" s="2"/>
      <c r="J9" s="2"/>
      <c r="K9" s="2"/>
    </row>
    <row r="10" spans="1:11">
      <c r="A10" s="2">
        <v>9</v>
      </c>
      <c r="B10" s="2" t="s">
        <v>69</v>
      </c>
      <c r="C10" s="2"/>
      <c r="D10" s="2">
        <f>COUNTIFS(Daily_Tracker!$B:$B,A10,Daily_Tracker!$G:$G,"تم")</f>
        <v>0</v>
      </c>
      <c r="E10" s="2">
        <f>SUMIFS(Daily_Tracker!$F:$F,Daily_Tracker!$B:$B,A10)</f>
        <v>0</v>
      </c>
      <c r="F10" s="2"/>
      <c r="G10" s="2"/>
      <c r="H10" s="2"/>
      <c r="I10" s="2"/>
      <c r="J10" s="2"/>
      <c r="K10" s="2"/>
    </row>
    <row r="11" spans="1:11">
      <c r="A11" s="2">
        <v>10</v>
      </c>
      <c r="B11" s="2" t="s">
        <v>73</v>
      </c>
      <c r="C11" s="2"/>
      <c r="D11" s="2">
        <f>COUNTIFS(Daily_Tracker!$B:$B,A11,Daily_Tracker!$G:$G,"تم")</f>
        <v>0</v>
      </c>
      <c r="E11" s="2">
        <f>SUMIFS(Daily_Tracker!$F:$F,Daily_Tracker!$B:$B,A11)</f>
        <v>0</v>
      </c>
      <c r="F11" s="2"/>
      <c r="G11" s="2"/>
      <c r="H11" s="2"/>
      <c r="I11" s="2"/>
      <c r="J11" s="2"/>
      <c r="K11" s="2"/>
    </row>
    <row r="12" spans="1:11">
      <c r="A12" s="2">
        <v>11</v>
      </c>
      <c r="B12" s="2" t="s">
        <v>77</v>
      </c>
      <c r="C12" s="2"/>
      <c r="D12" s="2">
        <f>COUNTIFS(Daily_Tracker!$B:$B,A12,Daily_Tracker!$G:$G,"تم")</f>
        <v>0</v>
      </c>
      <c r="E12" s="2">
        <f>SUMIFS(Daily_Tracker!$F:$F,Daily_Tracker!$B:$B,A12)</f>
        <v>0</v>
      </c>
      <c r="F12" s="2"/>
      <c r="G12" s="2"/>
      <c r="H12" s="2"/>
      <c r="I12" s="2"/>
      <c r="J12" s="2"/>
      <c r="K12" s="2"/>
    </row>
    <row r="13" spans="1:11">
      <c r="A13" s="2">
        <v>12</v>
      </c>
      <c r="B13" s="2" t="s">
        <v>81</v>
      </c>
      <c r="C13" s="2"/>
      <c r="D13" s="2">
        <f>COUNTIFS(Daily_Tracker!$B:$B,A13,Daily_Tracker!$G:$G,"تم")</f>
        <v>0</v>
      </c>
      <c r="E13" s="2">
        <f>SUMIFS(Daily_Tracker!$F:$F,Daily_Tracker!$B:$B,A13)</f>
        <v>0</v>
      </c>
      <c r="F13" s="2"/>
      <c r="G13" s="2"/>
      <c r="H13" s="2"/>
      <c r="I13" s="2"/>
      <c r="J13" s="2"/>
      <c r="K13" s="2"/>
    </row>
    <row r="14" spans="1:11">
      <c r="A14" s="2">
        <v>13</v>
      </c>
      <c r="B14" s="2" t="s">
        <v>85</v>
      </c>
      <c r="C14" s="2"/>
      <c r="D14" s="2">
        <f>COUNTIFS(Daily_Tracker!$B:$B,A14,Daily_Tracker!$G:$G,"تم")</f>
        <v>0</v>
      </c>
      <c r="E14" s="2">
        <f>SUMIFS(Daily_Tracker!$F:$F,Daily_Tracker!$B:$B,A14)</f>
        <v>0</v>
      </c>
      <c r="F14" s="2"/>
      <c r="G14" s="2"/>
      <c r="H14" s="2"/>
      <c r="I14" s="2"/>
      <c r="J14" s="2"/>
      <c r="K14" s="2"/>
    </row>
    <row r="15" spans="1:11">
      <c r="A15" s="2">
        <v>14</v>
      </c>
      <c r="B15" s="2" t="s">
        <v>89</v>
      </c>
      <c r="C15" s="2"/>
      <c r="D15" s="2">
        <f>COUNTIFS(Daily_Tracker!$B:$B,A15,Daily_Tracker!$G:$G,"تم")</f>
        <v>0</v>
      </c>
      <c r="E15" s="2">
        <f>SUMIFS(Daily_Tracker!$F:$F,Daily_Tracker!$B:$B,A15)</f>
        <v>0</v>
      </c>
      <c r="F15" s="2"/>
      <c r="G15" s="2"/>
      <c r="H15" s="2"/>
      <c r="I15" s="2"/>
      <c r="J15" s="2"/>
      <c r="K15" s="2"/>
    </row>
    <row r="16" spans="1:11">
      <c r="A16" s="2">
        <v>15</v>
      </c>
      <c r="B16" s="2" t="s">
        <v>93</v>
      </c>
      <c r="C16" s="2"/>
      <c r="D16" s="2">
        <f>COUNTIFS(Daily_Tracker!$B:$B,A16,Daily_Tracker!$G:$G,"تم")</f>
        <v>0</v>
      </c>
      <c r="E16" s="2">
        <f>SUMIFS(Daily_Tracker!$F:$F,Daily_Tracker!$B:$B,A16)</f>
        <v>0</v>
      </c>
      <c r="F16" s="2"/>
      <c r="G16" s="2"/>
      <c r="H16" s="2"/>
      <c r="I16" s="2"/>
      <c r="J16" s="2"/>
      <c r="K16" s="2"/>
    </row>
    <row r="17" spans="1:11">
      <c r="A17" s="2">
        <v>16</v>
      </c>
      <c r="B17" s="2" t="s">
        <v>97</v>
      </c>
      <c r="C17" s="2"/>
      <c r="D17" s="2">
        <f>COUNTIFS(Daily_Tracker!$B:$B,A17,Daily_Tracker!$G:$G,"تم")</f>
        <v>0</v>
      </c>
      <c r="E17" s="2">
        <f>SUMIFS(Daily_Tracker!$F:$F,Daily_Tracker!$B:$B,A17)</f>
        <v>0</v>
      </c>
      <c r="F17" s="2"/>
      <c r="G17" s="2"/>
      <c r="H17" s="2"/>
      <c r="I17" s="2"/>
      <c r="J17" s="2"/>
      <c r="K17" s="2"/>
    </row>
    <row r="18" spans="1:11">
      <c r="A18" s="2">
        <v>17</v>
      </c>
      <c r="B18" s="2" t="s">
        <v>101</v>
      </c>
      <c r="C18" s="2"/>
      <c r="D18" s="2">
        <f>COUNTIFS(Daily_Tracker!$B:$B,A18,Daily_Tracker!$G:$G,"تم")</f>
        <v>0</v>
      </c>
      <c r="E18" s="2">
        <f>SUMIFS(Daily_Tracker!$F:$F,Daily_Tracker!$B:$B,A18)</f>
        <v>0</v>
      </c>
      <c r="F18" s="2"/>
      <c r="G18" s="2"/>
      <c r="H18" s="2"/>
      <c r="I18" s="2"/>
      <c r="J18" s="2"/>
      <c r="K18" s="2"/>
    </row>
    <row r="19" spans="1:11">
      <c r="A19" s="2">
        <v>18</v>
      </c>
      <c r="B19" s="2" t="s">
        <v>104</v>
      </c>
      <c r="C19" s="2"/>
      <c r="D19" s="2">
        <f>COUNTIFS(Daily_Tracker!$B:$B,A19,Daily_Tracker!$G:$G,"تم")</f>
        <v>0</v>
      </c>
      <c r="E19" s="2">
        <f>SUMIFS(Daily_Tracker!$F:$F,Daily_Tracker!$B:$B,A19)</f>
        <v>0</v>
      </c>
      <c r="F19" s="2"/>
      <c r="G19" s="2"/>
      <c r="H19" s="2"/>
      <c r="I19" s="2"/>
      <c r="J19" s="2"/>
      <c r="K19" s="2"/>
    </row>
    <row r="20" spans="1:11">
      <c r="A20" s="2">
        <v>19</v>
      </c>
      <c r="B20" s="2" t="s">
        <v>108</v>
      </c>
      <c r="C20" s="2"/>
      <c r="D20" s="2">
        <f>COUNTIFS(Daily_Tracker!$B:$B,A20,Daily_Tracker!$G:$G,"تم")</f>
        <v>0</v>
      </c>
      <c r="E20" s="2">
        <f>SUMIFS(Daily_Tracker!$F:$F,Daily_Tracker!$B:$B,A20)</f>
        <v>0</v>
      </c>
      <c r="F20" s="2"/>
      <c r="G20" s="2"/>
      <c r="H20" s="2"/>
      <c r="I20" s="2"/>
      <c r="J20" s="2"/>
      <c r="K20" s="2"/>
    </row>
    <row r="21" spans="1:11">
      <c r="A21" s="2">
        <v>20</v>
      </c>
      <c r="B21" s="2" t="s">
        <v>112</v>
      </c>
      <c r="C21" s="2"/>
      <c r="D21" s="2">
        <f>COUNTIFS(Daily_Tracker!$B:$B,A21,Daily_Tracker!$G:$G,"تم")</f>
        <v>0</v>
      </c>
      <c r="E21" s="2">
        <f>SUMIFS(Daily_Tracker!$F:$F,Daily_Tracker!$B:$B,A21)</f>
        <v>0</v>
      </c>
      <c r="F21" s="2"/>
      <c r="G21" s="2"/>
      <c r="H21" s="2"/>
      <c r="I21" s="2"/>
      <c r="J21" s="2"/>
      <c r="K21" s="2"/>
    </row>
    <row r="22" spans="1:11">
      <c r="A22" s="2">
        <v>21</v>
      </c>
      <c r="B22" s="2" t="s">
        <v>116</v>
      </c>
      <c r="C22" s="2"/>
      <c r="D22" s="2">
        <f>COUNTIFS(Daily_Tracker!$B:$B,A22,Daily_Tracker!$G:$G,"تم")</f>
        <v>0</v>
      </c>
      <c r="E22" s="2">
        <f>SUMIFS(Daily_Tracker!$F:$F,Daily_Tracker!$B:$B,A22)</f>
        <v>0</v>
      </c>
      <c r="F22" s="2"/>
      <c r="G22" s="2"/>
      <c r="H22" s="2"/>
      <c r="I22" s="2"/>
      <c r="J22" s="2"/>
      <c r="K22" s="2"/>
    </row>
    <row r="23" spans="1:11">
      <c r="A23" s="2">
        <v>22</v>
      </c>
      <c r="B23" s="2" t="s">
        <v>120</v>
      </c>
      <c r="C23" s="2"/>
      <c r="D23" s="2">
        <f>COUNTIFS(Daily_Tracker!$B:$B,A23,Daily_Tracker!$G:$G,"تم")</f>
        <v>0</v>
      </c>
      <c r="E23" s="2">
        <f>SUMIFS(Daily_Tracker!$F:$F,Daily_Tracker!$B:$B,A23)</f>
        <v>0</v>
      </c>
      <c r="F23" s="2"/>
      <c r="G23" s="2"/>
      <c r="H23" s="2"/>
      <c r="I23" s="2"/>
      <c r="J23" s="2"/>
      <c r="K23" s="2"/>
    </row>
    <row r="24" spans="1:11">
      <c r="A24" s="2">
        <v>23</v>
      </c>
      <c r="B24" s="2" t="s">
        <v>123</v>
      </c>
      <c r="C24" s="2"/>
      <c r="D24" s="2">
        <f>COUNTIFS(Daily_Tracker!$B:$B,A24,Daily_Tracker!$G:$G,"تم")</f>
        <v>0</v>
      </c>
      <c r="E24" s="2">
        <f>SUMIFS(Daily_Tracker!$F:$F,Daily_Tracker!$B:$B,A24)</f>
        <v>0</v>
      </c>
      <c r="F24" s="2"/>
      <c r="G24" s="2"/>
      <c r="H24" s="2"/>
      <c r="I24" s="2"/>
      <c r="J24" s="2"/>
      <c r="K24" s="2"/>
    </row>
    <row r="25" spans="1:11">
      <c r="A25" s="2">
        <v>24</v>
      </c>
      <c r="B25" s="2" t="s">
        <v>126</v>
      </c>
      <c r="C25" s="2"/>
      <c r="D25" s="2">
        <f>COUNTIFS(Daily_Tracker!$B:$B,A25,Daily_Tracker!$G:$G,"تم")</f>
        <v>0</v>
      </c>
      <c r="E25" s="2">
        <f>SUMIFS(Daily_Tracker!$F:$F,Daily_Tracker!$B:$B,A25)</f>
        <v>0</v>
      </c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Lists!$D$2:$D$5</xm:f>
          </x14:formula1>
          <xm:sqref>H2:H25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0"/>
  <sheetViews>
    <sheetView rightToLeft="1" workbookViewId="0"/>
  </sheetViews>
  <sheetFormatPr defaultRowHeight="13.8"/>
  <cols>
    <col min="1" max="4" width="18" customWidth="1"/>
  </cols>
  <sheetData>
    <row r="1" spans="1:11" ht="24" customHeight="1">
      <c r="A1" s="1" t="s">
        <v>33</v>
      </c>
      <c r="B1" s="1" t="s">
        <v>32</v>
      </c>
      <c r="C1" s="1" t="s">
        <v>132</v>
      </c>
      <c r="D1" s="1" t="s">
        <v>207</v>
      </c>
      <c r="E1" s="2"/>
      <c r="F1" s="2"/>
      <c r="G1" s="2"/>
      <c r="H1" s="2"/>
      <c r="I1" s="2"/>
      <c r="J1" s="2"/>
      <c r="K1" s="2"/>
    </row>
    <row r="2" spans="1:11">
      <c r="A2" s="2" t="s">
        <v>40</v>
      </c>
      <c r="B2" s="2" t="s">
        <v>39</v>
      </c>
      <c r="C2" s="2" t="s">
        <v>39</v>
      </c>
      <c r="D2" s="2" t="s">
        <v>208</v>
      </c>
      <c r="E2" s="2"/>
      <c r="F2" s="2"/>
      <c r="G2" s="2"/>
      <c r="H2" s="2"/>
      <c r="I2" s="2"/>
      <c r="J2" s="2"/>
      <c r="K2" s="2"/>
    </row>
    <row r="3" spans="1:11">
      <c r="A3" s="2" t="s">
        <v>209</v>
      </c>
      <c r="B3" s="2" t="s">
        <v>78</v>
      </c>
      <c r="C3" s="2" t="s">
        <v>78</v>
      </c>
      <c r="D3" s="2" t="s">
        <v>210</v>
      </c>
      <c r="E3" s="2"/>
      <c r="F3" s="2"/>
      <c r="G3" s="2"/>
      <c r="H3" s="2"/>
      <c r="I3" s="2"/>
      <c r="J3" s="2"/>
      <c r="K3" s="2"/>
    </row>
    <row r="4" spans="1:11">
      <c r="A4" s="2" t="s">
        <v>211</v>
      </c>
      <c r="B4" s="2" t="s">
        <v>212</v>
      </c>
      <c r="C4" s="2" t="s">
        <v>212</v>
      </c>
      <c r="D4" s="2" t="s">
        <v>213</v>
      </c>
      <c r="E4" s="2"/>
      <c r="F4" s="2"/>
      <c r="G4" s="2"/>
      <c r="H4" s="2"/>
      <c r="I4" s="2"/>
      <c r="J4" s="2"/>
      <c r="K4" s="2"/>
    </row>
    <row r="5" spans="1:11">
      <c r="A5" s="2" t="s">
        <v>214</v>
      </c>
      <c r="B5" s="2" t="s">
        <v>117</v>
      </c>
      <c r="C5" s="2" t="s">
        <v>215</v>
      </c>
      <c r="D5" s="2" t="s">
        <v>216</v>
      </c>
      <c r="E5" s="2"/>
      <c r="F5" s="2"/>
      <c r="G5" s="2"/>
      <c r="H5" s="2"/>
      <c r="I5" s="2"/>
      <c r="J5" s="2"/>
      <c r="K5" s="2"/>
    </row>
    <row r="6" spans="1:11">
      <c r="A6" s="2" t="s">
        <v>217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Dashboard</vt:lpstr>
      <vt:lpstr>Sprint_Plan</vt:lpstr>
      <vt:lpstr>Daily_Tracker</vt:lpstr>
      <vt:lpstr>Roadmap_Backlog</vt:lpstr>
      <vt:lpstr>Weekly_Review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Abdulhamid</cp:lastModifiedBy>
  <dcterms:modified xsi:type="dcterms:W3CDTF">2026-06-16T21:31:29Z</dcterms:modified>
</cp:coreProperties>
</file>